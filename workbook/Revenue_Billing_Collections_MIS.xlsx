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gement_Master" sheetId="1" r:id="rId5"/>
    <sheet state="visible" name="Invoices" sheetId="2" r:id="rId6"/>
    <sheet state="visible" name="Collections" sheetId="3" r:id="rId7"/>
    <sheet state="visible" name="Headcount" sheetId="4" r:id="rId8"/>
    <sheet state="visible" name="Control" sheetId="5" r:id="rId9"/>
    <sheet state="visible" name="Working" sheetId="6" r:id="rId10"/>
    <sheet state="visible" name="PV_Ageing" sheetId="7" r:id="rId11"/>
    <sheet state="visible" name="PV_Ageing_Values" sheetId="8" r:id="rId12"/>
    <sheet state="visible" name="PV_Bill_vs_Collect" sheetId="9" r:id="rId13"/>
    <sheet state="visible" name="PV_Bill_vs_Collect_Values" sheetId="10" r:id="rId14"/>
    <sheet state="visible" name="PV_Top_Overdue" sheetId="11" r:id="rId15"/>
    <sheet state="visible" name="PV_Top_Overdue_Values" sheetId="12" r:id="rId16"/>
    <sheet state="visible" name="KPI" sheetId="13" r:id="rId17"/>
    <sheet state="visible" name="Test_Cases" sheetId="14" r:id="rId18"/>
    <sheet state="visible" name="Monthly_Log" sheetId="15" r:id="rId19"/>
    <sheet state="visible" name="Bug_Log" sheetId="16" r:id="rId20"/>
  </sheets>
  <definedNames/>
  <calcPr/>
  <pivotCaches>
    <pivotCache cacheId="0" r:id="rId21"/>
  </pivotCaches>
</workbook>
</file>

<file path=xl/sharedStrings.xml><?xml version="1.0" encoding="utf-8"?>
<sst xmlns="http://schemas.openxmlformats.org/spreadsheetml/2006/main" count="1332" uniqueCount="631">
  <si>
    <t>Receipt_ID</t>
  </si>
  <si>
    <t>Engagement_ID</t>
  </si>
  <si>
    <t>Employee_ID</t>
  </si>
  <si>
    <t>Invoice_No</t>
  </si>
  <si>
    <t>Receipt_Date</t>
  </si>
  <si>
    <t>Amount_Received_INR</t>
  </si>
  <si>
    <t>Invoice_Date</t>
  </si>
  <si>
    <t>Due_Date</t>
  </si>
  <si>
    <t>Invoice_Amount_INR</t>
  </si>
  <si>
    <t>Client_Name</t>
  </si>
  <si>
    <t>Service_Line</t>
  </si>
  <si>
    <t>Engagement_Partner</t>
  </si>
  <si>
    <t>Contract_Value_INR</t>
  </si>
  <si>
    <t>Payment_Terms_Days</t>
  </si>
  <si>
    <t>Start_Date</t>
  </si>
  <si>
    <t>Grade</t>
  </si>
  <si>
    <t>Monthly_Cost_INR</t>
  </si>
  <si>
    <t>Date_Check</t>
  </si>
  <si>
    <t>Join_Date</t>
  </si>
  <si>
    <t>Service_Line_Clean</t>
  </si>
  <si>
    <t>INV-26-0153</t>
  </si>
  <si>
    <t>Duplicate_Check</t>
  </si>
  <si>
    <t>ENG038</t>
  </si>
  <si>
    <t>ENG001</t>
  </si>
  <si>
    <t>Arcadia Industries Ltd</t>
  </si>
  <si>
    <t>Audit</t>
  </si>
  <si>
    <t>Anil Mehta</t>
  </si>
  <si>
    <t>RCP-0001</t>
  </si>
  <si>
    <t>EMP0001</t>
  </si>
  <si>
    <t>INV-26-0013</t>
  </si>
  <si>
    <t>INV-26-0102</t>
  </si>
  <si>
    <t>ENG026</t>
  </si>
  <si>
    <t>Consultant</t>
  </si>
  <si>
    <t>ENG002</t>
  </si>
  <si>
    <t>Bluestone Pharma Pvt Ltd</t>
  </si>
  <si>
    <t>Tax</t>
  </si>
  <si>
    <t>Rohit Sharma</t>
  </si>
  <si>
    <t>INV-26-0119</t>
  </si>
  <si>
    <t>ENG030</t>
  </si>
  <si>
    <t>INV-26-0111</t>
  </si>
  <si>
    <t>ENG028</t>
  </si>
  <si>
    <t>ENG003</t>
  </si>
  <si>
    <t>Crestline Finance Ltd</t>
  </si>
  <si>
    <t>Consulting</t>
  </si>
  <si>
    <t>Vikram Iyer</t>
  </si>
  <si>
    <t>INV-26-0157</t>
  </si>
  <si>
    <t>ENG039</t>
  </si>
  <si>
    <t>ENG004</t>
  </si>
  <si>
    <t>Deccan Retail Ltd</t>
  </si>
  <si>
    <t>INV-26-0140</t>
  </si>
  <si>
    <t>Risk Advisory</t>
  </si>
  <si>
    <t>ENG035</t>
  </si>
  <si>
    <t>Sanjay Gupta</t>
  </si>
  <si>
    <t>INV-26-0162</t>
  </si>
  <si>
    <t>ENG040</t>
  </si>
  <si>
    <t>ENG005</t>
  </si>
  <si>
    <t>Everest Infotech Pvt Ltd</t>
  </si>
  <si>
    <t>INV-26-0070</t>
  </si>
  <si>
    <t>ENG018</t>
  </si>
  <si>
    <t>ENG006</t>
  </si>
  <si>
    <t>Fulcrum Motors Ltd</t>
  </si>
  <si>
    <t>INV-26-0107</t>
  </si>
  <si>
    <t>ENG027</t>
  </si>
  <si>
    <t>INV-26-0034</t>
  </si>
  <si>
    <t>ENG007</t>
  </si>
  <si>
    <t>ENG009</t>
  </si>
  <si>
    <t>Granite Energy Ltd</t>
  </si>
  <si>
    <t>INV-26-0061</t>
  </si>
  <si>
    <t>ENG016</t>
  </si>
  <si>
    <t>ENG008</t>
  </si>
  <si>
    <t>Horizon Foods Pvt Ltd</t>
  </si>
  <si>
    <t>INV-26-0079</t>
  </si>
  <si>
    <t>ENG020</t>
  </si>
  <si>
    <t>Indus Industries Ltd</t>
  </si>
  <si>
    <t>Kavita Rao</t>
  </si>
  <si>
    <t>INV-26-0001</t>
  </si>
  <si>
    <t>ENG010</t>
  </si>
  <si>
    <t>Jade Pharma Pvt Ltd</t>
  </si>
  <si>
    <t>INV-26-0145</t>
  </si>
  <si>
    <t>ENG036</t>
  </si>
  <si>
    <t>INV-26-0114</t>
  </si>
  <si>
    <t>ENG029</t>
  </si>
  <si>
    <t>ENG011</t>
  </si>
  <si>
    <t>Kestrel Finance Ltd</t>
  </si>
  <si>
    <t>INV-26-0016</t>
  </si>
  <si>
    <t>EMP0002</t>
  </si>
  <si>
    <t>ENG012</t>
  </si>
  <si>
    <t>INV-26-0136</t>
  </si>
  <si>
    <t>Manager</t>
  </si>
  <si>
    <t>Lotus Retail Ltd</t>
  </si>
  <si>
    <t>ENG034</t>
  </si>
  <si>
    <t>Meera Joshi</t>
  </si>
  <si>
    <t>INV-26-0122</t>
  </si>
  <si>
    <t>ENG013</t>
  </si>
  <si>
    <t>ENG031</t>
  </si>
  <si>
    <t>Meridian Infotech Pvt Ltd</t>
  </si>
  <si>
    <t>INV-26-0051</t>
  </si>
  <si>
    <t>ENG014</t>
  </si>
  <si>
    <t>EMP0003</t>
  </si>
  <si>
    <t>Nimbus Motors Ltd</t>
  </si>
  <si>
    <t>Neha Kapoor</t>
  </si>
  <si>
    <t>INV-26-0006</t>
  </si>
  <si>
    <t>ENG015</t>
  </si>
  <si>
    <t>Orion Energy Ltd</t>
  </si>
  <si>
    <t>Priya Nair</t>
  </si>
  <si>
    <t>RCP-0002</t>
  </si>
  <si>
    <t>INV-26-0042</t>
  </si>
  <si>
    <t>EMP0004</t>
  </si>
  <si>
    <t>Analyst</t>
  </si>
  <si>
    <t>Pinnacle Foods Pvt Ltd</t>
  </si>
  <si>
    <t>INV-26-0025</t>
  </si>
  <si>
    <t>EMP0005</t>
  </si>
  <si>
    <t>ENG017</t>
  </si>
  <si>
    <t>INV-26-0148</t>
  </si>
  <si>
    <t>Quantum Industries Ltd</t>
  </si>
  <si>
    <t>ENG037</t>
  </si>
  <si>
    <t>INV-26-0131</t>
  </si>
  <si>
    <t>ENG033</t>
  </si>
  <si>
    <t>Redwood Pharma Pvt Ltd</t>
  </si>
  <si>
    <t>EMP0006</t>
  </si>
  <si>
    <t>INV-26-0038</t>
  </si>
  <si>
    <t>ENG019</t>
  </si>
  <si>
    <t>Saffron Finance Ltd</t>
  </si>
  <si>
    <t>INV-26-0088</t>
  </si>
  <si>
    <t>ENG022</t>
  </si>
  <si>
    <t>EMP0007</t>
  </si>
  <si>
    <t>Terra Retail Ltd</t>
  </si>
  <si>
    <t>INV-26-0083</t>
  </si>
  <si>
    <t>ENG021</t>
  </si>
  <si>
    <t>INV-26-0066</t>
  </si>
  <si>
    <t>EMP0008</t>
  </si>
  <si>
    <t>Unity Infotech Pvt Ltd</t>
  </si>
  <si>
    <t>RCP-0003</t>
  </si>
  <si>
    <t>INV-26-0057</t>
  </si>
  <si>
    <t>Vertex Motors Ltd</t>
  </si>
  <si>
    <t>EMP0009</t>
  </si>
  <si>
    <t>INV-26-0108</t>
  </si>
  <si>
    <t>ENG023</t>
  </si>
  <si>
    <t>Westbrook Energy Ltd</t>
  </si>
  <si>
    <t>INV-26-0021</t>
  </si>
  <si>
    <t>EMP0010</t>
  </si>
  <si>
    <t>INV-26-0095</t>
  </si>
  <si>
    <t>ENG024</t>
  </si>
  <si>
    <t>Zenith Foods Pvt Ltd</t>
  </si>
  <si>
    <t>EMP0011</t>
  </si>
  <si>
    <t>INV-26-0098</t>
  </si>
  <si>
    <t>Senior Consultant</t>
  </si>
  <si>
    <t>ENG025</t>
  </si>
  <si>
    <t>Aurora Industries Ltd</t>
  </si>
  <si>
    <t>INV-26-0075</t>
  </si>
  <si>
    <t>EMP0012</t>
  </si>
  <si>
    <t>Banyan Pharma Pvt Ltd</t>
  </si>
  <si>
    <t>Director</t>
  </si>
  <si>
    <t>INV-26-0137</t>
  </si>
  <si>
    <t>INV-26-0103</t>
  </si>
  <si>
    <t>Cobalt Finance Ltd</t>
  </si>
  <si>
    <t>RCP-0004</t>
  </si>
  <si>
    <t>EMP0013</t>
  </si>
  <si>
    <t>INV-26-0115</t>
  </si>
  <si>
    <t>Delta Retail Ltd</t>
  </si>
  <si>
    <t>INV-26-0141</t>
  </si>
  <si>
    <t>Ember Infotech Pvt Ltd</t>
  </si>
  <si>
    <t>EMP0014</t>
  </si>
  <si>
    <t>INV-26-0035</t>
  </si>
  <si>
    <t>Falcon Motors Ltd</t>
  </si>
  <si>
    <t>INV-26-0043</t>
  </si>
  <si>
    <t>EMP0015</t>
  </si>
  <si>
    <t>INV-26-0163</t>
  </si>
  <si>
    <t>Glacier Energy Ltd</t>
  </si>
  <si>
    <t>INV-26-0067</t>
  </si>
  <si>
    <t>EMP0016</t>
  </si>
  <si>
    <t>ENG032</t>
  </si>
  <si>
    <t>RCP-0005</t>
  </si>
  <si>
    <t>Harbor Foods Pvt Ltd</t>
  </si>
  <si>
    <t>INV-26-0071</t>
  </si>
  <si>
    <t>Ivory Industries Ltd</t>
  </si>
  <si>
    <t>EMP0017</t>
  </si>
  <si>
    <t>INV-26-0054</t>
  </si>
  <si>
    <t>INV-26-0154</t>
  </si>
  <si>
    <t>Juniper Pharma Pvt Ltd</t>
  </si>
  <si>
    <t>EMP0018</t>
  </si>
  <si>
    <t>INV-26-0091</t>
  </si>
  <si>
    <t>Krypton Finance Ltd</t>
  </si>
  <si>
    <t>EMP0019</t>
  </si>
  <si>
    <t>Partner</t>
  </si>
  <si>
    <t>Lumen Retail Ltd</t>
  </si>
  <si>
    <t>EMP0020</t>
  </si>
  <si>
    <t>RCP-0006</t>
  </si>
  <si>
    <t>Monsoon Infotech Pvt Ltd</t>
  </si>
  <si>
    <t>EMP0021</t>
  </si>
  <si>
    <t>Nova Motors Ltd</t>
  </si>
  <si>
    <t>INV-26-0112</t>
  </si>
  <si>
    <t>EMP0022</t>
  </si>
  <si>
    <t>INV-26-0026</t>
  </si>
  <si>
    <t>Opal Energy Ltd</t>
  </si>
  <si>
    <t>INV-26-0047</t>
  </si>
  <si>
    <t>Pioneer Foods Pvt Ltd</t>
  </si>
  <si>
    <t>EMP0023</t>
  </si>
  <si>
    <t>INV-26-0089</t>
  </si>
  <si>
    <t>RCP-0007</t>
  </si>
  <si>
    <t>INV-26-0030</t>
  </si>
  <si>
    <t>EMP0024</t>
  </si>
  <si>
    <t>INV-26-0058</t>
  </si>
  <si>
    <t>INV-26-0039</t>
  </si>
  <si>
    <t>EMP0025</t>
  </si>
  <si>
    <t>INV-26-0132</t>
  </si>
  <si>
    <t>EMP0026</t>
  </si>
  <si>
    <t>INV-26-0017</t>
  </si>
  <si>
    <t>INV-26-0084</t>
  </si>
  <si>
    <t>EMP0027</t>
  </si>
  <si>
    <t>RCP-0008</t>
  </si>
  <si>
    <t>INV-26-0002</t>
  </si>
  <si>
    <t>INV-26-0014</t>
  </si>
  <si>
    <t>EMP0028</t>
  </si>
  <si>
    <t>INV-26-0009</t>
  </si>
  <si>
    <t>EMP0029</t>
  </si>
  <si>
    <t>INV-26-0146</t>
  </si>
  <si>
    <t>EMP0030</t>
  </si>
  <si>
    <t>INV-26-0052</t>
  </si>
  <si>
    <t>RCP-0009</t>
  </si>
  <si>
    <t>EMP0031</t>
  </si>
  <si>
    <t>INV-26-0123</t>
  </si>
  <si>
    <t>INV-26-0158</t>
  </si>
  <si>
    <t>EMP0032</t>
  </si>
  <si>
    <t>INV-26-0080</t>
  </si>
  <si>
    <t>EMP0033</t>
  </si>
  <si>
    <t>INV-26-0062</t>
  </si>
  <si>
    <t>INV-26-0149</t>
  </si>
  <si>
    <t>EMP0034</t>
  </si>
  <si>
    <t>INV-26-0007</t>
  </si>
  <si>
    <t>RCP-0010</t>
  </si>
  <si>
    <t>INV-26-0127</t>
  </si>
  <si>
    <t>EMP0035</t>
  </si>
  <si>
    <t>INV-26-0120</t>
  </si>
  <si>
    <t>INV-26-0085</t>
  </si>
  <si>
    <t>EMP0036</t>
  </si>
  <si>
    <t>INV-26-0015</t>
  </si>
  <si>
    <t>EMP0037</t>
  </si>
  <si>
    <t>INV-26-0155</t>
  </si>
  <si>
    <t>INV-26-0044</t>
  </si>
  <si>
    <t>EMP0038</t>
  </si>
  <si>
    <t>RCP-0011</t>
  </si>
  <si>
    <t>INV-26-0072</t>
  </si>
  <si>
    <t>INV-26-0104</t>
  </si>
  <si>
    <t>EMP0039</t>
  </si>
  <si>
    <t>INV-26-0099</t>
  </si>
  <si>
    <t>INV-26-0008</t>
  </si>
  <si>
    <t>EMP0040</t>
  </si>
  <si>
    <t>INV-26-0022</t>
  </si>
  <si>
    <t>INV-26-0133</t>
  </si>
  <si>
    <t>EMP0041</t>
  </si>
  <si>
    <t>INV-26-0124</t>
  </si>
  <si>
    <t>RCP-0012</t>
  </si>
  <si>
    <t>EMP0042</t>
  </si>
  <si>
    <t>INV-26-0040</t>
  </si>
  <si>
    <t>INV-26-0010</t>
  </si>
  <si>
    <t>EMP0043</t>
  </si>
  <si>
    <t>INV-26-0068</t>
  </si>
  <si>
    <t>INV-26-0059</t>
  </si>
  <si>
    <t>EMP0044</t>
  </si>
  <si>
    <t>INV-26-0090</t>
  </si>
  <si>
    <t>EMP0045</t>
  </si>
  <si>
    <t>INV-26-0027</t>
  </si>
  <si>
    <t>RCP-0013</t>
  </si>
  <si>
    <t>INV-26-0053</t>
  </si>
  <si>
    <t>EMP0046</t>
  </si>
  <si>
    <t>INV-26-0164</t>
  </si>
  <si>
    <t>INV-26-0113</t>
  </si>
  <si>
    <t>EMP0047</t>
  </si>
  <si>
    <t>INV-26-0142</t>
  </si>
  <si>
    <t>EMP0048</t>
  </si>
  <si>
    <t>INV-26-0018</t>
  </si>
  <si>
    <t>INV-26-0116</t>
  </si>
  <si>
    <t>EMP0049</t>
  </si>
  <si>
    <t>RCP-0014</t>
  </si>
  <si>
    <t>INV-26-0081</t>
  </si>
  <si>
    <t>EMP0050</t>
  </si>
  <si>
    <t>INV-26-0063</t>
  </si>
  <si>
    <t>INV-26-0055</t>
  </si>
  <si>
    <t>EMP0051</t>
  </si>
  <si>
    <t>INV-26-0109</t>
  </si>
  <si>
    <t>EMP0052</t>
  </si>
  <si>
    <t>INV-26-0121</t>
  </si>
  <si>
    <t>EMP0053</t>
  </si>
  <si>
    <t>RCP-0015</t>
  </si>
  <si>
    <t>INV-26-0003</t>
  </si>
  <si>
    <t>EMP0054</t>
  </si>
  <si>
    <t>INV-26-0092</t>
  </si>
  <si>
    <t>INV-26-0138</t>
  </si>
  <si>
    <t>EMP0055</t>
  </si>
  <si>
    <t>INV-26-0096</t>
  </si>
  <si>
    <t>EMP0056</t>
  </si>
  <si>
    <t>INV-26-0048</t>
  </si>
  <si>
    <t>INV-26-0128</t>
  </si>
  <si>
    <t>EMP0057</t>
  </si>
  <si>
    <t>INV-26-0159</t>
  </si>
  <si>
    <t>RCP-0016</t>
  </si>
  <si>
    <t>INV-26-0150</t>
  </si>
  <si>
    <t>EMP0058</t>
  </si>
  <si>
    <t>INV-26-0031</t>
  </si>
  <si>
    <t>EMP0059</t>
  </si>
  <si>
    <t>consulting</t>
  </si>
  <si>
    <t>INV-26-0147</t>
  </si>
  <si>
    <t>INV-26-0036</t>
  </si>
  <si>
    <t>EMP0060</t>
  </si>
  <si>
    <t>INV-26-0076</t>
  </si>
  <si>
    <t>EMP0061</t>
  </si>
  <si>
    <t>RCP-0017</t>
  </si>
  <si>
    <t>INV-26-0019</t>
  </si>
  <si>
    <t>EMP0062</t>
  </si>
  <si>
    <t>INV-26-0069</t>
  </si>
  <si>
    <t>INV-26-0143</t>
  </si>
  <si>
    <t>EMP0063</t>
  </si>
  <si>
    <t>INV-26-0037</t>
  </si>
  <si>
    <t>INV-26-0129</t>
  </si>
  <si>
    <t>EMP0064</t>
  </si>
  <si>
    <t>INV-26-0056</t>
  </si>
  <si>
    <t>RCP-0018</t>
  </si>
  <si>
    <t>INV-26-0086</t>
  </si>
  <si>
    <t>INV-26-0060</t>
  </si>
  <si>
    <t>EMP0065</t>
  </si>
  <si>
    <t>INV-26-0151</t>
  </si>
  <si>
    <t>EMP0066</t>
  </si>
  <si>
    <t>INV-26-0077</t>
  </si>
  <si>
    <t>INV-26-0073</t>
  </si>
  <si>
    <t>EMP0067</t>
  </si>
  <si>
    <t>INV-26-0041</t>
  </si>
  <si>
    <t>RCP-0019</t>
  </si>
  <si>
    <t>EMP0068</t>
  </si>
  <si>
    <t>INV-26-0105</t>
  </si>
  <si>
    <t>EMP0069</t>
  </si>
  <si>
    <t>INV-26-0082</t>
  </si>
  <si>
    <t>INV-26-0100</t>
  </si>
  <si>
    <t>EMP0070</t>
  </si>
  <si>
    <t>INV-26-0028</t>
  </si>
  <si>
    <t>INV-26-0167</t>
  </si>
  <si>
    <t>EMP0071</t>
  </si>
  <si>
    <t>ENG045</t>
  </si>
  <si>
    <t>RCP-0020</t>
  </si>
  <si>
    <t>INV-26-0097</t>
  </si>
  <si>
    <t>EMP0072</t>
  </si>
  <si>
    <t>INV-26-0110</t>
  </si>
  <si>
    <t>INV-26-0004</t>
  </si>
  <si>
    <t>EMP0073</t>
  </si>
  <si>
    <t>INV-26-0045</t>
  </si>
  <si>
    <t>INV-26-0064</t>
  </si>
  <si>
    <t>EMP0074</t>
  </si>
  <si>
    <t>INV-26-0032</t>
  </si>
  <si>
    <t>EMP0075</t>
  </si>
  <si>
    <t>INV-26-0117</t>
  </si>
  <si>
    <t>RCP-0021</t>
  </si>
  <si>
    <t>INV-26-0160</t>
  </si>
  <si>
    <t>EMP0076</t>
  </si>
  <si>
    <t>INV-26-0049</t>
  </si>
  <si>
    <t>INV-26-0011</t>
  </si>
  <si>
    <t>EMP0077</t>
  </si>
  <si>
    <t>INV-26-0093</t>
  </si>
  <si>
    <t>EMP0078</t>
  </si>
  <si>
    <t>INV-26-0165</t>
  </si>
  <si>
    <t>INV-26-0156</t>
  </si>
  <si>
    <t>RCP-0022</t>
  </si>
  <si>
    <t>EMP0079</t>
  </si>
  <si>
    <t>INV-26-0125</t>
  </si>
  <si>
    <t>INV-26-0134</t>
  </si>
  <si>
    <t>EMP0080</t>
  </si>
  <si>
    <t>INV-26-0139</t>
  </si>
  <si>
    <t>INV-26-0023</t>
  </si>
  <si>
    <t>EMP0081</t>
  </si>
  <si>
    <t>INV-26-0012</t>
  </si>
  <si>
    <t>EMP0082</t>
  </si>
  <si>
    <t>INV-26-0029</t>
  </si>
  <si>
    <t>RCP-0023</t>
  </si>
  <si>
    <t>INV-26-0020</t>
  </si>
  <si>
    <t>EMP0083</t>
  </si>
  <si>
    <t>INV-26-0024</t>
  </si>
  <si>
    <t>INV-26-0126</t>
  </si>
  <si>
    <t>EMP0084</t>
  </si>
  <si>
    <t>INV-26-0130</t>
  </si>
  <si>
    <t>INV-26-0166</t>
  </si>
  <si>
    <t>EMP0085</t>
  </si>
  <si>
    <t>INV-26-0050</t>
  </si>
  <si>
    <t>INV-26-0106</t>
  </si>
  <si>
    <t>EMP0086</t>
  </si>
  <si>
    <t>RCP-0024</t>
  </si>
  <si>
    <t>INV-26-0033</t>
  </si>
  <si>
    <t>EMP0087</t>
  </si>
  <si>
    <t>INV-26-0078</t>
  </si>
  <si>
    <t>EMP0088</t>
  </si>
  <si>
    <t>INV-26-0065</t>
  </si>
  <si>
    <t>INV-26-0074</t>
  </si>
  <si>
    <t>EMP0089</t>
  </si>
  <si>
    <t>INV-26-0118</t>
  </si>
  <si>
    <t>RCP-0025</t>
  </si>
  <si>
    <t>INV-26-0161</t>
  </si>
  <si>
    <t>EMP0090</t>
  </si>
  <si>
    <t>INV-26-0046</t>
  </si>
  <si>
    <t>INV-26-0135</t>
  </si>
  <si>
    <t>EMP0091</t>
  </si>
  <si>
    <t>INV-26-0005</t>
  </si>
  <si>
    <t>INV-26-0144</t>
  </si>
  <si>
    <t>EMP0092</t>
  </si>
  <si>
    <t>Risk advisory</t>
  </si>
  <si>
    <t>INV-26-0087</t>
  </si>
  <si>
    <t>RCP-0026</t>
  </si>
  <si>
    <t>INV-26-0094</t>
  </si>
  <si>
    <t>EMP0093</t>
  </si>
  <si>
    <t>INV-26-0152</t>
  </si>
  <si>
    <t>EMP0094</t>
  </si>
  <si>
    <t>INV-26-0101</t>
  </si>
  <si>
    <t>EMP0095</t>
  </si>
  <si>
    <t>EMP0096</t>
  </si>
  <si>
    <t>RCP-0027</t>
  </si>
  <si>
    <t>EMP0097</t>
  </si>
  <si>
    <t>EMP0098</t>
  </si>
  <si>
    <t>EMP0099</t>
  </si>
  <si>
    <t>EMP0100</t>
  </si>
  <si>
    <t>RCP-0028</t>
  </si>
  <si>
    <t>EMP0101</t>
  </si>
  <si>
    <t>EMP0102</t>
  </si>
  <si>
    <t>EMP0103</t>
  </si>
  <si>
    <t>EMP0104</t>
  </si>
  <si>
    <t>RCP-0029</t>
  </si>
  <si>
    <t>EMP0105</t>
  </si>
  <si>
    <t>EMP0106</t>
  </si>
  <si>
    <t>EMP0107</t>
  </si>
  <si>
    <t>EMP0108</t>
  </si>
  <si>
    <t>RCP-0030</t>
  </si>
  <si>
    <t>EMP0109</t>
  </si>
  <si>
    <t>EMP0110</t>
  </si>
  <si>
    <t>EMP0111</t>
  </si>
  <si>
    <t>RCP-0031</t>
  </si>
  <si>
    <t>EMP0112</t>
  </si>
  <si>
    <t>EMP0113</t>
  </si>
  <si>
    <t>EMP0114</t>
  </si>
  <si>
    <t>EMP0115</t>
  </si>
  <si>
    <t>RCP-0032</t>
  </si>
  <si>
    <t>EMP0116</t>
  </si>
  <si>
    <t>EMP0117</t>
  </si>
  <si>
    <t>EMP0118</t>
  </si>
  <si>
    <t>EMP0119</t>
  </si>
  <si>
    <t>RCP-0033</t>
  </si>
  <si>
    <t>EMP0120</t>
  </si>
  <si>
    <t>RCP-0034</t>
  </si>
  <si>
    <t>RCP-0035</t>
  </si>
  <si>
    <t>RCP-0036</t>
  </si>
  <si>
    <t>RCP-0037</t>
  </si>
  <si>
    <t>RCP-0038</t>
  </si>
  <si>
    <t>RCP-0039</t>
  </si>
  <si>
    <t>RCP-0040</t>
  </si>
  <si>
    <t>RCP-0041</t>
  </si>
  <si>
    <t>RCP-0042</t>
  </si>
  <si>
    <t>RCP-0043</t>
  </si>
  <si>
    <t>RCP-0044</t>
  </si>
  <si>
    <t>RCP-0045</t>
  </si>
  <si>
    <t>Report As-Of Date</t>
  </si>
  <si>
    <t>RCP-0046</t>
  </si>
  <si>
    <t>Period Start</t>
  </si>
  <si>
    <t>Days in Period</t>
  </si>
  <si>
    <t>RCP-0047</t>
  </si>
  <si>
    <t>Months in Period</t>
  </si>
  <si>
    <t>RCP-0048</t>
  </si>
  <si>
    <t>RCP-0049</t>
  </si>
  <si>
    <t>RCP-0050</t>
  </si>
  <si>
    <t>RCP-0051</t>
  </si>
  <si>
    <t>RCP-0052</t>
  </si>
  <si>
    <t>RCP-0053</t>
  </si>
  <si>
    <t>RCP-0054</t>
  </si>
  <si>
    <t>RCP-0055</t>
  </si>
  <si>
    <t>RCP-0056</t>
  </si>
  <si>
    <t>RCP-0057</t>
  </si>
  <si>
    <t>RCP-0058</t>
  </si>
  <si>
    <t>RCP-0059</t>
  </si>
  <si>
    <t>RCP-0060</t>
  </si>
  <si>
    <t>Invoice_Amount</t>
  </si>
  <si>
    <t>Amount_Received</t>
  </si>
  <si>
    <t>Outstanding</t>
  </si>
  <si>
    <t>Days_Overdue</t>
  </si>
  <si>
    <t>Ageing_Bucket</t>
  </si>
  <si>
    <t>Invoice_Month</t>
  </si>
  <si>
    <t>RCP-0061</t>
  </si>
  <si>
    <t>RCP-0062</t>
  </si>
  <si>
    <t>RCP-0063</t>
  </si>
  <si>
    <t>RCP-0064</t>
  </si>
  <si>
    <t>RCP-0065</t>
  </si>
  <si>
    <t>RCP-0066</t>
  </si>
  <si>
    <t>RCP-0067</t>
  </si>
  <si>
    <t>RCP-0068</t>
  </si>
  <si>
    <t>RCP-0069</t>
  </si>
  <si>
    <t>RCP-0070</t>
  </si>
  <si>
    <t>RCP-0071</t>
  </si>
  <si>
    <t>RCP-0072</t>
  </si>
  <si>
    <t>RCP-0073</t>
  </si>
  <si>
    <t>RCP-0074</t>
  </si>
  <si>
    <t>RCP-0075</t>
  </si>
  <si>
    <t>RCP-0076</t>
  </si>
  <si>
    <t>RCP-0077</t>
  </si>
  <si>
    <t>RCP-0078</t>
  </si>
  <si>
    <t>0-30</t>
  </si>
  <si>
    <t>31-60</t>
  </si>
  <si>
    <t>61-90</t>
  </si>
  <si>
    <t>90+</t>
  </si>
  <si>
    <t>Not Due</t>
  </si>
  <si>
    <t>Grand Total</t>
  </si>
  <si>
    <t>RCP-0079</t>
  </si>
  <si>
    <t>NOT FOUND</t>
  </si>
  <si>
    <t>RCP-0080</t>
  </si>
  <si>
    <t>RCP-0081</t>
  </si>
  <si>
    <t>RCP-0082</t>
  </si>
  <si>
    <t>RCP-0083</t>
  </si>
  <si>
    <t>RCP-0084</t>
  </si>
  <si>
    <t>RCP-0085</t>
  </si>
  <si>
    <t>RCP-0086</t>
  </si>
  <si>
    <t>RCP-0087</t>
  </si>
  <si>
    <t>RCP-0088</t>
  </si>
  <si>
    <t>RCP-0089</t>
  </si>
  <si>
    <t>RCP-0090</t>
  </si>
  <si>
    <t>RCP-0091</t>
  </si>
  <si>
    <t>RCP-0092</t>
  </si>
  <si>
    <t>RCP-0093</t>
  </si>
  <si>
    <t>RCP-0094</t>
  </si>
  <si>
    <t>SUM of Outstanding</t>
  </si>
  <si>
    <t>RCP-0095</t>
  </si>
  <si>
    <t>RCP-0096</t>
  </si>
  <si>
    <t>INV-26-9999</t>
  </si>
  <si>
    <t>SUM of Invoice_Amount</t>
  </si>
  <si>
    <t>SUM of Amount_Received</t>
  </si>
  <si>
    <t>Total Billed</t>
  </si>
  <si>
    <t>Total Collected</t>
  </si>
  <si>
    <t>Total Outstanding</t>
  </si>
  <si>
    <t>Collection Efficiency %</t>
  </si>
  <si>
    <t>Overdue 90+ Amount</t>
  </si>
  <si>
    <t>% of Outstanding in 90+</t>
  </si>
  <si>
    <t>DSO (days)</t>
  </si>
  <si>
    <t>Billed</t>
  </si>
  <si>
    <t>Collected</t>
  </si>
  <si>
    <t>Efficiency %</t>
  </si>
  <si>
    <t>DSO</t>
  </si>
  <si>
    <t>Headcount</t>
  </si>
  <si>
    <t>Billing per Head</t>
  </si>
  <si>
    <t>People Cost (6M)</t>
  </si>
  <si>
    <t>Billing ÷ Cost</t>
  </si>
  <si>
    <t>TC_ID</t>
  </si>
  <si>
    <t>Test Scenario</t>
  </si>
  <si>
    <t>Actual Result</t>
  </si>
  <si>
    <t>Expected Result</t>
  </si>
  <si>
    <t>Status</t>
  </si>
  <si>
    <t>Bug_ID</t>
  </si>
  <si>
    <t>TC01</t>
  </si>
  <si>
    <t>Working total matches Invoices total</t>
  </si>
  <si>
    <t>TC02</t>
  </si>
  <si>
    <t>No duplicate invoice numbers</t>
  </si>
  <si>
    <t>BUG-01</t>
  </si>
  <si>
    <t>TC03</t>
  </si>
  <si>
    <t>Every invoice maps to an engagement</t>
  </si>
  <si>
    <t>BUG-02</t>
  </si>
  <si>
    <t>TC04</t>
  </si>
  <si>
    <t>No negative invoice amounts</t>
  </si>
  <si>
    <t>BUG-03</t>
  </si>
  <si>
    <t>TC05</t>
  </si>
  <si>
    <t>No blank invoice amounts</t>
  </si>
  <si>
    <t>BUG-04</t>
  </si>
  <si>
    <t>TC06</t>
  </si>
  <si>
    <t>Due date is not before invoice date</t>
  </si>
  <si>
    <t>BUG-05</t>
  </si>
  <si>
    <t>TC07</t>
  </si>
  <si>
    <t>Outstanding is never negative</t>
  </si>
  <si>
    <t>BUG-06</t>
  </si>
  <si>
    <t>TC08</t>
  </si>
  <si>
    <t>Every receipt matches a real invoice</t>
  </si>
  <si>
    <t>BUG-07</t>
  </si>
  <si>
    <t>TC09</t>
  </si>
  <si>
    <t>Receipt is not dated before its invoice</t>
  </si>
  <si>
    <t>BUG-08</t>
  </si>
  <si>
    <t>TC10</t>
  </si>
  <si>
    <t>No duplicate employees</t>
  </si>
  <si>
    <t>BUG-09</t>
  </si>
  <si>
    <t>TC11</t>
  </si>
  <si>
    <t>Cleaned service lines are all valid</t>
  </si>
  <si>
    <t>BUG-10</t>
  </si>
  <si>
    <t>TC12</t>
  </si>
  <si>
    <t>Service-line totals + unmapped = total billed</t>
  </si>
  <si>
    <t>Run Time</t>
  </si>
  <si>
    <t>As-Of Date</t>
  </si>
  <si>
    <t>90+ Amount</t>
  </si>
  <si>
    <t>Invoices 90+</t>
  </si>
  <si>
    <t>Tests Failed</t>
  </si>
  <si>
    <t>What's wrong</t>
  </si>
  <si>
    <t>Record(s)</t>
  </si>
  <si>
    <t>Severity</t>
  </si>
  <si>
    <t>Impact on report</t>
  </si>
  <si>
    <t>Recommended fix</t>
  </si>
  <si>
    <t>Same invoice entered twice</t>
  </si>
  <si>
    <t>High</t>
  </si>
  <si>
    <t>Billing overstated; its receipt counted twice</t>
  </si>
  <si>
    <t>Confirm with Billing, remove duplicate</t>
  </si>
  <si>
    <t>Open</t>
  </si>
  <si>
    <t>Invoice linked to engagement not in master</t>
  </si>
  <si>
    <t>INV-26-0167 (ENG045)</t>
  </si>
  <si>
    <t>₹4,50,000 not assigned to any service line</t>
  </si>
  <si>
    <t>Confirm correct engagement ID with Finance</t>
  </si>
  <si>
    <t>Negative invoice with no credit-note label</t>
  </si>
  <si>
    <t>Billing understated; hides in "Paid" in ageing</t>
  </si>
  <si>
    <t>Check if credit note; record separately</t>
  </si>
  <si>
    <t>Invoice amount is blank</t>
  </si>
  <si>
    <t>₹11,40,000 received against an invoice with no amount</t>
  </si>
  <si>
    <t>Get amount from billing system</t>
  </si>
  <si>
    <t>Due date earlier than invoice date</t>
  </si>
  <si>
    <t>Medium</t>
  </si>
  <si>
    <t>Wrong days overdue and ageing bucket</t>
  </si>
  <si>
    <t>Recalculate due date from payment terms</t>
  </si>
  <si>
    <t>Client paid more than invoice amount</t>
  </si>
  <si>
    <t>RCP-0011 / INV-26-0102</t>
  </si>
  <si>
    <t>₹2,50,000 overpaid; possible refund due</t>
  </si>
  <si>
    <t>Verify with Collections; refund or adjust</t>
  </si>
  <si>
    <t>Payment against invoice that doesn't exist</t>
  </si>
  <si>
    <t>RCP-0096 / INV-26-9999</t>
  </si>
  <si>
    <t>₹3,00,000 cash received but not matched</t>
  </si>
  <si>
    <t>Identify correct invoice with client</t>
  </si>
  <si>
    <t>Payment dated before invoice was sent</t>
  </si>
  <si>
    <t>RCP-0031 / INV-26-0071</t>
  </si>
  <si>
    <t>Collection timing wrong</t>
  </si>
  <si>
    <t>Verify date against bank statement</t>
  </si>
  <si>
    <t>Same employee listed twice</t>
  </si>
  <si>
    <t>Headcount and people cost would be overstated</t>
  </si>
  <si>
    <t>Excluded via Duplicate_Check; fix in HR source</t>
  </si>
  <si>
    <t>Handled in MIS</t>
  </si>
  <si>
    <t>Service line typed inconsistently</t>
  </si>
  <si>
    <t>EMP0059, EMP0092</t>
  </si>
  <si>
    <t>Low</t>
  </si>
  <si>
    <t>Would miscount headcount per team</t>
  </si>
  <si>
    <t>Cleaned with TRIM/PROPER; standardise in HR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</si>
</sst>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&quot;x&quot;"/>
    <numFmt numFmtId="166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1" fillId="2" fontId="2" numFmtId="0" xfId="0" applyBorder="1" applyFill="1" applyFont="1"/>
    <xf borderId="1" fillId="2" fontId="2" numFmtId="164" xfId="0" applyBorder="1" applyFill="1" applyFont="1" applyNumberFormat="1"/>
    <xf borderId="1" fillId="0" fontId="2" numFmtId="3" xfId="0" applyBorder="1" applyFont="1" applyNumberFormat="1"/>
    <xf borderId="0" fillId="0" fontId="2" numFmtId="3" xfId="0" applyAlignment="1" applyFont="1" applyNumberFormat="1">
      <alignment readingOrder="0"/>
    </xf>
    <xf borderId="1" fillId="0" fontId="1" numFmtId="3" xfId="0" applyBorder="1" applyFont="1" applyNumberFormat="1"/>
    <xf borderId="1" fillId="0" fontId="1" numFmtId="0" xfId="0" applyBorder="1" applyFont="1"/>
    <xf borderId="1" fillId="0" fontId="1" numFmtId="3" xfId="0" applyBorder="1" applyFont="1" applyNumberFormat="1"/>
    <xf borderId="1" fillId="0" fontId="2" numFmtId="3" xfId="0" applyBorder="1" applyFont="1" applyNumberFormat="1"/>
    <xf borderId="0" fillId="0" fontId="2" numFmtId="3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2" numFmtId="165" xfId="0" applyFont="1" applyNumberFormat="1"/>
    <xf borderId="1" fillId="0" fontId="2" numFmtId="10" xfId="0" applyBorder="1" applyFont="1" applyNumberFormat="1"/>
    <xf borderId="1" fillId="0" fontId="2" numFmtId="1" xfId="0" applyBorder="1" applyFont="1" applyNumberFormat="1"/>
    <xf borderId="1" fillId="0" fontId="1" numFmtId="3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166" xfId="0" applyAlignment="1" applyBorder="1" applyFont="1" applyNumberFormat="1">
      <alignment readingOrder="0"/>
    </xf>
    <xf borderId="1" fillId="0" fontId="2" numFmtId="1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69" sheet="Working"/>
  </cacheSource>
  <cacheFields>
    <cacheField name="Invoice_No" numFmtId="0">
      <sharedItems>
        <s v="INV-26-0153"/>
        <s v="INV-26-0102"/>
        <s v="INV-26-0119"/>
        <s v="INV-26-0111"/>
        <s v="INV-26-0157"/>
        <s v="INV-26-0140"/>
        <s v="INV-26-0162"/>
        <s v="INV-26-0070"/>
        <s v="INV-26-0107"/>
        <s v="INV-26-0034"/>
        <s v="INV-26-0061"/>
        <s v="INV-26-0079"/>
        <s v="INV-26-0013"/>
        <s v="INV-26-0001"/>
        <s v="INV-26-0145"/>
        <s v="INV-26-0114"/>
        <s v="INV-26-0016"/>
        <s v="INV-26-0136"/>
        <s v="INV-26-0122"/>
        <s v="INV-26-0051"/>
        <s v="INV-26-0006"/>
        <s v="INV-26-0042"/>
        <s v="INV-26-0025"/>
        <s v="INV-26-0148"/>
        <s v="INV-26-0131"/>
        <s v="INV-26-0038"/>
        <s v="INV-26-0088"/>
        <s v="INV-26-0083"/>
        <s v="INV-26-0066"/>
        <s v="INV-26-0057"/>
        <s v="INV-26-0108"/>
        <s v="INV-26-0021"/>
        <s v="INV-26-0095"/>
        <s v="INV-26-0098"/>
        <s v="INV-26-0075"/>
        <s v="INV-26-0137"/>
        <s v="INV-26-0103"/>
        <s v="INV-26-0115"/>
        <s v="INV-26-0141"/>
        <s v="INV-26-0035"/>
        <s v="INV-26-0043"/>
        <s v="INV-26-0163"/>
        <s v="INV-26-0067"/>
        <s v="INV-26-0071"/>
        <s v="INV-26-0054"/>
        <s v="INV-26-0154"/>
        <s v="INV-26-0091"/>
        <s v="INV-26-0112"/>
        <s v="INV-26-0026"/>
        <s v="INV-26-0047"/>
        <s v="INV-26-0089"/>
        <s v="INV-26-0030"/>
        <s v="INV-26-0058"/>
        <s v="INV-26-0039"/>
        <s v="INV-26-0132"/>
        <s v="INV-26-0017"/>
        <s v="INV-26-0084"/>
        <s v="INV-26-0002"/>
        <s v="INV-26-0014"/>
        <s v="INV-26-0009"/>
        <s v="INV-26-0146"/>
        <s v="INV-26-0052"/>
        <s v="INV-26-0123"/>
        <s v="INV-26-0158"/>
        <s v="INV-26-0080"/>
        <s v="INV-26-0062"/>
        <s v="INV-26-0149"/>
        <s v="INV-26-0007"/>
        <s v="INV-26-0127"/>
        <s v="INV-26-0120"/>
        <s v="INV-26-0085"/>
        <s v="INV-26-0015"/>
        <s v="INV-26-0155"/>
        <s v="INV-26-0044"/>
        <s v="INV-26-0072"/>
        <s v="INV-26-0104"/>
        <s v="INV-26-0099"/>
        <s v="INV-26-0008"/>
        <s v="INV-26-0022"/>
        <s v="INV-26-0133"/>
        <s v="INV-26-0124"/>
        <s v="INV-26-0040"/>
        <s v="INV-26-0010"/>
        <s v="INV-26-0068"/>
        <s v="INV-26-0059"/>
        <s v="INV-26-0090"/>
        <s v="INV-26-0027"/>
        <s v="INV-26-0053"/>
        <s v="INV-26-0164"/>
        <s v="INV-26-0113"/>
        <s v="INV-26-0142"/>
        <s v="INV-26-0018"/>
        <s v="INV-26-0116"/>
        <s v="INV-26-0081"/>
        <s v="INV-26-0063"/>
        <s v="INV-26-0055"/>
        <s v="INV-26-0109"/>
        <s v="INV-26-0121"/>
        <s v="INV-26-0003"/>
        <s v="INV-26-0092"/>
        <s v="INV-26-0138"/>
        <s v="INV-26-0096"/>
        <s v="INV-26-0048"/>
        <s v="INV-26-0128"/>
        <s v="INV-26-0159"/>
        <s v="INV-26-0150"/>
        <s v="INV-26-0031"/>
        <s v="INV-26-0147"/>
        <s v="INV-26-0036"/>
        <s v="INV-26-0076"/>
        <s v="INV-26-0019"/>
        <s v="INV-26-0069"/>
        <s v="INV-26-0143"/>
        <s v="INV-26-0037"/>
        <s v="INV-26-0129"/>
        <s v="INV-26-0056"/>
        <s v="INV-26-0086"/>
        <s v="INV-26-0060"/>
        <s v="INV-26-0151"/>
        <s v="INV-26-0077"/>
        <s v="INV-26-0073"/>
        <s v="INV-26-0041"/>
        <s v="INV-26-0105"/>
        <s v="INV-26-0082"/>
        <s v="INV-26-0100"/>
        <s v="INV-26-0028"/>
        <s v="INV-26-0167"/>
        <s v="INV-26-0097"/>
        <s v="INV-26-0110"/>
        <s v="INV-26-0004"/>
        <s v="INV-26-0045"/>
        <s v="INV-26-0064"/>
        <s v="INV-26-0032"/>
        <s v="INV-26-0117"/>
        <s v="INV-26-0160"/>
        <s v="INV-26-0049"/>
        <s v="INV-26-0011"/>
        <s v="INV-26-0093"/>
        <s v="INV-26-0165"/>
        <s v="INV-26-0156"/>
        <s v="INV-26-0125"/>
        <s v="INV-26-0134"/>
        <s v="INV-26-0139"/>
        <s v="INV-26-0023"/>
        <s v="INV-26-0012"/>
        <s v="INV-26-0029"/>
        <s v="INV-26-0020"/>
        <s v="INV-26-0024"/>
        <s v="INV-26-0126"/>
        <s v="INV-26-0130"/>
        <s v="INV-26-0166"/>
        <s v="INV-26-0050"/>
        <s v="INV-26-0106"/>
        <s v="INV-26-0033"/>
        <s v="INV-26-0078"/>
        <s v="INV-26-0065"/>
        <s v="INV-26-0074"/>
        <s v="INV-26-0118"/>
        <s v="INV-26-0161"/>
        <s v="INV-26-0046"/>
        <s v="INV-26-0135"/>
        <s v="INV-26-0005"/>
        <s v="INV-26-0144"/>
        <s v="INV-26-0087"/>
        <s v="INV-26-0094"/>
        <s v="INV-26-0152"/>
        <s v="INV-26-0101"/>
      </sharedItems>
    </cacheField>
    <cacheField name="Engagement_ID" numFmtId="0">
      <sharedItems>
        <s v="ENG038"/>
        <s v="ENG026"/>
        <s v="ENG030"/>
        <s v="ENG028"/>
        <s v="ENG039"/>
        <s v="ENG035"/>
        <s v="ENG040"/>
        <s v="ENG018"/>
        <s v="ENG027"/>
        <s v="ENG009"/>
        <s v="ENG016"/>
        <s v="ENG020"/>
        <s v="ENG004"/>
        <s v="ENG001"/>
        <s v="ENG036"/>
        <s v="ENG029"/>
        <s v="ENG005"/>
        <s v="ENG034"/>
        <s v="ENG031"/>
        <s v="ENG013"/>
        <s v="ENG002"/>
        <s v="ENG011"/>
        <s v="ENG007"/>
        <s v="ENG037"/>
        <s v="ENG033"/>
        <s v="ENG010"/>
        <s v="ENG022"/>
        <s v="ENG021"/>
        <s v="ENG017"/>
        <s v="ENG015"/>
        <s v="ENG006"/>
        <s v="ENG024"/>
        <s v="ENG025"/>
        <s v="ENG019"/>
        <s v="ENG014"/>
        <s v="ENG023"/>
        <s v="ENG012"/>
        <s v="ENG008"/>
        <s v="ENG003"/>
        <s v="ENG032"/>
        <s v="ENG045"/>
      </sharedItems>
    </cacheField>
    <cacheField name="Invoice_Date" numFmtId="164">
      <sharedItems containsSemiMixedTypes="0" containsDate="1" containsString="0">
        <d v="2026-05-04T00:00:00Z"/>
        <d v="2026-05-05T00:00:00Z"/>
        <d v="2026-05-06T00:00:00Z"/>
        <d v="2026-05-07T00:00:00Z"/>
        <d v="2026-05-08T00:00:00Z"/>
        <d v="2026-05-09T00:00:00Z"/>
        <d v="2026-05-14T00:00:00Z"/>
        <d v="2026-05-15T00:00:00Z"/>
        <d v="2026-05-17T00:00:00Z"/>
        <d v="2026-05-18T00:00:00Z"/>
        <d v="2026-05-19T00:00:00Z"/>
        <d v="2026-05-20T00:00:00Z"/>
        <d v="2026-05-22T00:00:00Z"/>
        <d v="2026-05-23T00:00:00Z"/>
        <d v="2026-05-24T00:00:00Z"/>
        <d v="2026-05-25T00:00:00Z"/>
        <d v="2026-06-04T00:00:00Z"/>
        <d v="2026-06-05T00:00:00Z"/>
        <d v="2026-06-06T00:00:00Z"/>
        <d v="2026-06-08T00:00:00Z"/>
        <d v="2026-06-10T00:00:00Z"/>
        <d v="2026-06-11T00:00:00Z"/>
        <d v="2026-06-12T00:00:00Z"/>
        <d v="2026-06-13T00:00:00Z"/>
        <d v="2026-06-14T00:00:00Z"/>
        <d v="2026-06-16T00:00:00Z"/>
        <d v="2026-06-18T00:00:00Z"/>
        <d v="2026-06-19T00:00:00Z"/>
        <d v="2026-06-21T00:00:00Z"/>
        <d v="2026-06-22T00:00:00Z"/>
        <d v="2026-06-23T00:00:00Z"/>
        <d v="2026-06-25T00:00:00Z"/>
        <d v="2026-06-26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3T00:00:00Z"/>
        <d v="2026-07-15T00:00:00Z"/>
        <d v="2026-07-16T00:00:00Z"/>
        <d v="2026-07-17T00:00:00Z"/>
        <d v="2026-07-18T00:00:00Z"/>
        <d v="2026-07-19T00:00:00Z"/>
        <d v="2026-07-20T00:00:00Z"/>
        <d v="2026-07-22T00:00:00Z"/>
        <d v="2026-07-23T00:00:00Z"/>
        <d v="2026-07-24T00:00:00Z"/>
        <d v="2026-07-26T00:00:00Z"/>
        <d v="2026-08-04T00:00:00Z"/>
        <d v="2026-08-06T00:00:00Z"/>
        <d v="2026-08-07T00:00:00Z"/>
        <d v="2026-08-09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9T00:00:00Z"/>
        <d v="2026-08-21T00:00:00Z"/>
        <d v="2026-08-22T00:00:00Z"/>
        <d v="2026-08-23T00:00:00Z"/>
        <d v="2026-08-25T00:00:00Z"/>
        <d v="2026-09-04T00:00:00Z"/>
        <d v="2026-09-10T00:00:00Z"/>
        <d v="2026-09-11T00:00:00Z"/>
        <d v="2026-09-12T00:00:00Z"/>
        <d v="2026-09-13T00:00:00Z"/>
        <d v="2026-09-15T00:00:00Z"/>
        <d v="2026-09-16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</sharedItems>
    </cacheField>
    <cacheField name="Due_Date" numFmtId="164">
      <sharedItems containsSemiMixedTypes="0" containsDate="1" containsString="0">
        <d v="2026-06-18T00:00:00Z"/>
        <d v="2026-07-03T00:00:00Z"/>
        <d v="2026-06-03T00:00:00Z"/>
        <d v="2026-07-04T00:00:00Z"/>
        <d v="2026-07-05T00:00:00Z"/>
        <d v="2026-07-06T00:00:00Z"/>
        <d v="2026-06-06T00:00:00Z"/>
        <d v="2026-06-07T00:00:00Z"/>
        <d v="2026-07-08T00:00:00Z"/>
        <d v="2026-06-13T00:00:00Z"/>
        <d v="2026-06-28T00:00:00Z"/>
        <d v="2026-06-29T00:00:00Z"/>
        <d v="2026-06-14T00:00:00Z"/>
        <d v="2026-06-16T00:00:00Z"/>
        <d v="2026-07-17T00:00:00Z"/>
        <d v="2026-07-02T00:00:00Z"/>
        <d v="2026-06-19T00:00:00Z"/>
        <d v="2026-07-21T00:00:00Z"/>
        <d v="2026-06-22T00:00:00Z"/>
        <d v="2026-06-23T00:00:00Z"/>
        <d v="2026-07-09T00:00:00Z"/>
        <d v="2026-08-05T00:00:00Z"/>
        <d v="2026-08-09T00:00:00Z"/>
        <d v="2026-07-10T00:00:00Z"/>
        <d v="2026-07-11T00:00:00Z"/>
        <d v="2026-07-26T00:00:00Z"/>
        <d v="2026-07-27T00:00:00Z"/>
        <d v="2026-08-11T00:00:00Z"/>
        <d v="2026-08-12T00:00:00Z"/>
        <d v="2026-07-14T00:00:00Z"/>
        <d v="2026-07-29T00:00:00Z"/>
        <d v="2026-07-16T00:00:00Z"/>
        <d v="2026-07-31T00:00:00Z"/>
        <d v="2026-07-18T00:00:00Z"/>
        <d v="2026-07-19T00:00:00Z"/>
        <d v="2026-08-03T00:00:00Z"/>
        <d v="2026-08-21T00:00:00Z"/>
        <d v="2026-08-06T00:00:00Z"/>
        <d v="2026-07-22T00:00:00Z"/>
        <d v="2026-08-07T00:00:00Z"/>
        <d v="2026-07-23T00:00:00Z"/>
        <d v="2026-07-25T00:00:00Z"/>
        <d v="2026-08-19T00:00:00Z"/>
        <d v="2026-08-04T00:00:00Z"/>
        <d v="2026-08-20T00:00:00Z"/>
        <d v="2026-09-05T00:00:00Z"/>
        <d v="2026-08-08T00:00:00Z"/>
        <d v="2026-09-08T00:00:00Z"/>
        <d v="2026-08-24T00:00:00Z"/>
        <d v="2026-08-25T00:00:00Z"/>
        <d v="2026-08-10T00:00:00Z"/>
        <d v="2026-09-11T00:00:00Z"/>
        <d v="2026-08-27T00:00:00Z"/>
        <d v="2026-08-14T00:00:00Z"/>
        <d v="2026-09-13T00:00:00Z"/>
        <d v="2026-09-14T00:00:00Z"/>
        <d v="2026-08-16T00:00:00Z"/>
        <d v="2026-09-01T00:00:00Z"/>
        <d v="2026-08-18T00:00:00Z"/>
        <d v="2026-09-18T00:00:00Z"/>
        <d v="2026-08-22T00:00:00Z"/>
        <d v="2026-09-22T00:00:00Z"/>
        <d v="2026-09-07T00:00:00Z"/>
        <d v="2026-09-09T00:00:00Z"/>
        <d v="2026-09-24T00:00:00Z"/>
        <d v="2026-06-26T00:00:00Z"/>
        <d v="2026-09-03T00:00:00Z"/>
        <d v="2026-10-03T00:00:00Z"/>
        <d v="2026-10-05T00:00:00Z"/>
        <d v="2026-09-21T00:00:00Z"/>
        <d v="2026-09-23T00:00:00Z"/>
        <d v="2026-10-08T00:00:00Z"/>
        <d v="2026-10-09T00:00:00Z"/>
        <d v="2026-09-10T00:00:00Z"/>
        <d v="2026-10-10T00:00:00Z"/>
        <d v="2026-09-12T00:00:00Z"/>
        <d v="2026-09-29T00:00:00Z"/>
        <d v="2026-09-15T00:00:00Z"/>
        <d v="2026-10-16T00:00:00Z"/>
        <d v="2026-09-20T00:00:00Z"/>
        <d v="2026-10-20T00:00:00Z"/>
        <d v="2026-10-07T00:00:00Z"/>
        <d v="2026-10-22T00:00:00Z"/>
        <d v="2026-10-04T00:00:00Z"/>
        <d v="2026-11-03T00:00:00Z"/>
        <d v="2026-11-10T00:00:00Z"/>
        <d v="2026-10-12T00:00:00Z"/>
        <d v="2026-10-13T00:00:00Z"/>
        <d v="2026-11-14T00:00:00Z"/>
        <d v="2026-10-30T00:00:00Z"/>
        <d v="2026-11-15T00:00:00Z"/>
        <d v="2026-10-19T00:00:00Z"/>
        <d v="2026-11-20T00:00:00Z"/>
        <d v="2026-11-22T00:00:00Z"/>
        <d v="2026-11-08T00:00:00Z"/>
        <d v="2026-11-24T00:00:00Z"/>
        <d v="2026-11-09T00:00:00Z"/>
        <d v="2026-10-26T00:00:00Z"/>
      </sharedItems>
    </cacheField>
    <cacheField name="Invoice_Amount">
      <sharedItems containsMixedTypes="1" containsNumber="1" containsInteger="1">
        <n v="1103000.0"/>
        <n v="984000.0"/>
        <n v="1229000.0"/>
        <n v="737000.0"/>
        <n v="739000.0"/>
        <n v="228000.0"/>
        <n v="945000.0"/>
        <n v="1394000.0"/>
        <n v="783000.0"/>
        <n v="916000.0"/>
        <n v="581000.0"/>
        <n v="490000.0"/>
        <n v="295000.0"/>
        <n v="360000.0"/>
        <n v="1147000.0"/>
        <n v="1129000.0"/>
        <n v="466000.0"/>
        <n v="1083000.0"/>
        <n v="986000.0"/>
        <n v="910000.0"/>
        <n v="813000.0"/>
        <n v="635000.0"/>
        <n v="1263000.0"/>
        <n v="572000.0"/>
        <n v="705000.0"/>
        <n v="1442000.0"/>
        <n v="1112000.0"/>
        <n v="320000.0"/>
        <n v="304000.0"/>
        <n v="944000.0"/>
        <n v="757000.0"/>
        <n v="643000.0"/>
        <n v="604000.0"/>
        <n v="953000.0"/>
        <n v="1640000.0"/>
        <n v="1219000.0"/>
        <n v="1300000.0"/>
        <n v="221000.0"/>
        <n v="780000.0"/>
        <n v="1040000.0"/>
        <n v="1123000.0"/>
        <n v="289000.0"/>
        <n v="1490000.0"/>
        <n v="561000.0"/>
        <n v="828000.0"/>
        <n v="208000.0"/>
        <n v="832000.0"/>
        <n v="1367000.0"/>
        <n v="491000.0"/>
        <n v="1280000.0"/>
        <n v="896000.0"/>
        <n v="949000.0"/>
        <n v="1650000.0"/>
        <n v="610000.0"/>
        <n v="397000.0"/>
        <n v="384000.0"/>
        <n v="266000.0"/>
        <n v="312000.0"/>
        <n v="842000.0"/>
        <n v="1091000.0"/>
        <n v="879000.0"/>
        <n v="1062000.0"/>
        <n v="789000.0"/>
        <n v="699000.0"/>
        <n v="769000.0"/>
        <n v="637000.0"/>
        <n v="731000.0"/>
        <n v="703000.0"/>
        <n v="1465000.0"/>
        <n v="518000.0"/>
        <n v="324000.0"/>
        <n v="795000.0"/>
        <n v="688000.0"/>
        <n v="1173000.0"/>
        <n v="908000.0"/>
        <n v="1254000.0"/>
        <n v="1216000.0"/>
        <n v="760000.0"/>
        <n v="1635000.0"/>
        <n v="1503000.0"/>
        <n v="732000.0"/>
        <n v="359000.0"/>
        <n v="642000.0"/>
        <n v="1207000.0"/>
        <n v="920000.0"/>
        <n v="1208000.0"/>
        <n v="904000.0"/>
        <n v="1066000.0"/>
        <n v="211000.0"/>
        <n v="433000.0"/>
        <n v="972000.0"/>
        <n v="555000.0"/>
        <n v="979000.0"/>
        <n v="750000.0"/>
        <n v="516000.0"/>
        <s v=""/>
        <n v="236000.0"/>
        <n v="1081000.0"/>
        <n v="616000.0"/>
        <n v="481000.0"/>
        <n v="628000.0"/>
        <n v="723000.0"/>
        <n v="669000.0"/>
        <n v="890000.0"/>
        <n v="1501000.0"/>
        <n v="655000.0"/>
        <n v="948000.0"/>
        <n v="373000.0"/>
        <n v="371000.0"/>
        <n v="231000.0"/>
        <n v="1086000.0"/>
        <n v="633000.0"/>
        <n v="460000.0"/>
        <n v="821000.0"/>
        <n v="1356000.0"/>
        <n v="1534000.0"/>
        <n v="-1248000.0"/>
        <n v="1312000.0"/>
        <n v="469000.0"/>
        <n v="1075000.0"/>
        <n v="867000.0"/>
        <n v="450000.0"/>
        <n v="934000.0"/>
        <n v="280000.0"/>
        <n v="740000.0"/>
        <n v="808000.0"/>
        <n v="1258000.0"/>
        <n v="687000.0"/>
        <n v="665000.0"/>
        <n v="457000.0"/>
        <n v="781000.0"/>
        <n v="347000.0"/>
        <n v="1002000.0"/>
        <n v="1365000.0"/>
        <n v="1165000.0"/>
        <n v="553000.0"/>
        <n v="1099000.0"/>
        <n v="960000.0"/>
        <n v="577000.0"/>
        <n v="1303000.0"/>
        <n v="545000.0"/>
        <n v="905000.0"/>
        <n v="1476000.0"/>
        <n v="446000.0"/>
        <n v="1232000.0"/>
        <n v="1045000.0"/>
        <n v="1572000.0"/>
        <n v="667000.0"/>
        <n v="1568000.0"/>
        <n v="856000.0"/>
        <n v="715000.0"/>
        <n v="675000.0"/>
        <n v="536000.0"/>
        <n v="262000.0"/>
        <n v="303000.0"/>
        <n v="494000.0"/>
        <n v="213000.0"/>
        <n v="575000.0"/>
        <n v="845000.0"/>
      </sharedItems>
    </cacheField>
    <cacheField name="Client_Name" numFmtId="0">
      <sharedItems>
        <s v="Nova Motors Ltd"/>
        <s v="Banyan Pharma Pvt Ltd"/>
        <s v="Falcon Motors Ltd"/>
        <s v="Delta Retail Ltd"/>
        <s v="Opal Energy Ltd"/>
        <s v="Krypton Finance Ltd"/>
        <s v="Pioneer Foods Pvt Ltd"/>
        <s v="Redwood Pharma Pvt Ltd"/>
        <s v="Cobalt Finance Ltd"/>
        <s v="Indus Industries Ltd"/>
        <s v="Pinnacle Foods Pvt Ltd"/>
        <s v="Terra Retail Ltd"/>
        <s v="Deccan Retail Ltd"/>
        <s v="Arcadia Industries Ltd"/>
        <s v="Lumen Retail Ltd"/>
        <s v="Ember Infotech Pvt Ltd"/>
        <s v="Everest Infotech Pvt Ltd"/>
        <s v="Juniper Pharma Pvt Ltd"/>
        <s v="Glacier Energy Ltd"/>
        <s v="Meridian Infotech Pvt Ltd"/>
        <s v="Bluestone Pharma Pvt Ltd"/>
        <s v="Kestrel Finance Ltd"/>
        <s v="Granite Energy Ltd"/>
        <s v="Monsoon Infotech Pvt Ltd"/>
        <s v="Ivory Industries Ltd"/>
        <s v="Jade Pharma Pvt Ltd"/>
        <s v="Vertex Motors Ltd"/>
        <s v="Unity Infotech Pvt Ltd"/>
        <s v="Quantum Industries Ltd"/>
        <s v="Orion Energy Ltd"/>
        <s v="Fulcrum Motors Ltd"/>
        <s v="Zenith Foods Pvt Ltd"/>
        <s v="Aurora Industries Ltd"/>
        <s v="Saffron Finance Ltd"/>
        <s v="Nimbus Motors Ltd"/>
        <s v="Westbrook Energy Ltd"/>
        <s v="Lotus Retail Ltd"/>
        <s v="Horizon Foods Pvt Ltd"/>
        <s v="Crestline Finance Ltd"/>
        <s v="Harbor Foods Pvt Ltd"/>
        <s v="NOT FOUND"/>
      </sharedItems>
    </cacheField>
    <cacheField name="Service_Line" numFmtId="0">
      <sharedItems>
        <s v="Tax"/>
        <s v="Risk Advisory"/>
        <s v="Consulting"/>
        <s v="Audit"/>
        <s v="NOT FOUND"/>
      </sharedItems>
    </cacheField>
    <cacheField name="Partner" numFmtId="0">
      <sharedItems>
        <s v="Neha Kapoor"/>
        <s v="Meera Joshi"/>
        <s v="Vikram Iyer"/>
        <s v="Priya Nair"/>
        <s v="Sanjay Gupta"/>
        <s v="Kavita Rao"/>
        <s v="Anil Mehta"/>
        <s v="Rohit Sharma"/>
        <s v="NOT FOUND"/>
      </sharedItems>
    </cacheField>
    <cacheField name="Amount_Received" numFmtId="0">
      <sharedItems containsSemiMixedTypes="0" containsString="0" containsNumber="1" containsInteger="1">
        <n v="580000.0"/>
        <n v="1234000.0"/>
        <n v="1229000.0"/>
        <n v="339000.0"/>
        <n v="739000.0"/>
        <n v="0.0"/>
        <n v="945000.0"/>
        <n v="1394000.0"/>
        <n v="783000.0"/>
        <n v="916000.0"/>
        <n v="581000.0"/>
        <n v="263000.0"/>
        <n v="295000.0"/>
        <n v="360000.0"/>
        <n v="1147000.0"/>
        <n v="1129000.0"/>
        <n v="1083000.0"/>
        <n v="577000.0"/>
        <n v="910000.0"/>
        <n v="813000.0"/>
        <n v="635000.0"/>
        <n v="572000.0"/>
        <n v="705000.0"/>
        <n v="1442000.0"/>
        <n v="1112000.0"/>
        <n v="320000.0"/>
        <n v="304000.0"/>
        <n v="944000.0"/>
        <n v="757000.0"/>
        <n v="604000.0"/>
        <n v="953000.0"/>
        <n v="1640000.0"/>
        <n v="1219000.0"/>
        <n v="1300000.0"/>
        <n v="643000.0"/>
        <n v="780000.0"/>
        <n v="1040000.0"/>
        <n v="1123000.0"/>
        <n v="289000.0"/>
        <n v="1490000.0"/>
        <n v="239000.0"/>
        <n v="828000.0"/>
        <n v="491000.0"/>
        <n v="896000.0"/>
        <n v="949000.0"/>
        <n v="1650000.0"/>
        <n v="610000.0"/>
        <n v="384000.0"/>
        <n v="266000.0"/>
        <n v="312000.0"/>
        <n v="842000.0"/>
        <n v="1091000.0"/>
        <n v="1062000.0"/>
        <n v="699000.0"/>
        <n v="769000.0"/>
        <n v="637000.0"/>
        <n v="731000.0"/>
        <n v="1465000.0"/>
        <n v="362000.0"/>
        <n v="324000.0"/>
        <n v="795000.0"/>
        <n v="1173000.0"/>
        <n v="908000.0"/>
        <n v="1254000.0"/>
        <n v="1216000.0"/>
        <n v="832000.0"/>
        <n v="1503000.0"/>
        <n v="359000.0"/>
        <n v="904000.0"/>
        <n v="972000.0"/>
        <n v="555000.0"/>
        <n v="979000.0"/>
        <n v="750000.0"/>
        <n v="516000.0"/>
        <n v="1140000.0"/>
        <n v="1081000.0"/>
        <n v="291000.0"/>
        <n v="481000.0"/>
        <n v="628000.0"/>
        <n v="669000.0"/>
        <n v="890000.0"/>
        <n v="1501000.0"/>
        <n v="371000.0"/>
        <n v="633000.0"/>
        <n v="1534000.0"/>
        <n v="1248000.0"/>
        <n v="934000.0"/>
        <n v="280000.0"/>
        <n v="808000.0"/>
        <n v="856000.0"/>
        <n v="687000.0"/>
        <n v="1099000.0"/>
      </sharedItems>
    </cacheField>
    <cacheField name="Outstanding">
      <sharedItems containsMixedTypes="1" containsNumber="1" containsInteger="1">
        <n v="523000.0"/>
        <n v="-250000.0"/>
        <n v="0.0"/>
        <n v="398000.0"/>
        <n v="228000.0"/>
        <n v="227000.0"/>
        <n v="466000.0"/>
        <n v="409000.0"/>
        <n v="1263000.0"/>
        <n v="643000.0"/>
        <n v="221000.0"/>
        <n v="322000.0"/>
        <n v="208000.0"/>
        <n v="832000.0"/>
        <n v="1367000.0"/>
        <n v="384000.0"/>
        <n v="397000.0"/>
        <n v="879000.0"/>
        <n v="789000.0"/>
        <n v="383000.0"/>
        <n v="156000.0"/>
        <n v="688000.0"/>
        <n v="760000.0"/>
        <n v="1635000.0"/>
        <n v="732000.0"/>
        <n v="642000.0"/>
        <n v="1207000.0"/>
        <n v="920000.0"/>
        <n v="1208000.0"/>
        <n v="1066000.0"/>
        <n v="211000.0"/>
        <n v="433000.0"/>
        <s v=""/>
        <n v="236000.0"/>
        <n v="325000.0"/>
        <n v="723000.0"/>
        <n v="655000.0"/>
        <n v="948000.0"/>
        <n v="373000.0"/>
        <n v="231000.0"/>
        <n v="1086000.0"/>
        <n v="460000.0"/>
        <n v="890000.0"/>
        <n v="821000.0"/>
        <n v="1356000.0"/>
        <n v="-2496000.0"/>
        <n v="1312000.0"/>
        <n v="469000.0"/>
        <n v="1075000.0"/>
        <n v="867000.0"/>
        <n v="450000.0"/>
        <n v="740000.0"/>
        <n v="402000.0"/>
        <n v="665000.0"/>
        <n v="457000.0"/>
        <n v="781000.0"/>
        <n v="347000.0"/>
        <n v="1002000.0"/>
        <n v="1365000.0"/>
        <n v="1165000.0"/>
        <n v="553000.0"/>
        <n v="960000.0"/>
        <n v="577000.0"/>
        <n v="1303000.0"/>
        <n v="545000.0"/>
        <n v="905000.0"/>
        <n v="1476000.0"/>
        <n v="795000.0"/>
        <n v="446000.0"/>
        <n v="1232000.0"/>
        <n v="1045000.0"/>
        <n v="1572000.0"/>
        <n v="667000.0"/>
        <n v="1568000.0"/>
        <n v="856000.0"/>
        <n v="715000.0"/>
        <n v="675000.0"/>
        <n v="536000.0"/>
        <n v="262000.0"/>
        <n v="303000.0"/>
        <n v="494000.0"/>
        <n v="213000.0"/>
        <n v="575000.0"/>
        <n v="845000.0"/>
      </sharedItems>
    </cacheField>
    <cacheField name="Days_Overdue">
      <sharedItems containsMixedTypes="1" containsNumber="1" containsInteger="1">
        <n v="104.0"/>
        <n v="0.0"/>
        <n v="88.0"/>
        <n v="86.0"/>
        <n v="94.0"/>
        <n v="106.0"/>
        <n v="75.0"/>
        <n v="71.0"/>
        <n v="52.0"/>
        <n v="81.0"/>
        <n v="50.0"/>
        <n v="49.0"/>
        <n v="78.0"/>
        <n v="76.0"/>
        <n v="56.0"/>
        <n v="40.0"/>
        <n v="67.0"/>
        <n v="42.0"/>
        <n v="53.0"/>
        <n v="22.0"/>
        <n v="36.0"/>
        <n v="51.0"/>
        <n v="19.0"/>
        <n v="34.0"/>
        <n v="17.0"/>
        <n v="16.0"/>
        <n v="45.0"/>
        <s v=""/>
        <n v="12.0"/>
        <n v="39.0"/>
        <n v="8.0"/>
        <n v="6.0"/>
        <n v="96.0"/>
        <n v="27.0"/>
        <n v="9.0"/>
        <n v="7.0"/>
        <n v="20.0"/>
        <n v="18.0"/>
        <n v="1.0"/>
        <n v="10.0"/>
      </sharedItems>
    </cacheField>
    <cacheField name="Ageing_Bucket" numFmtId="0">
      <sharedItems>
        <s v="90+"/>
        <s v="Paid"/>
        <s v="61-90"/>
        <s v="31-60"/>
        <s v="0-30"/>
        <s v=""/>
        <s v="Not Due"/>
      </sharedItems>
    </cacheField>
    <cacheField name="Invoice_Month" numFmtId="0">
      <sharedItems>
        <s v="2026-05"/>
        <s v="2026-06"/>
        <s v="2026-07"/>
        <s v="2026-08"/>
        <s v="2026-0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_Ageing" cacheId="0" dataCaption="" compact="0" compactData="0">
  <location ref="A1:G8" firstHeaderRow="0" firstDataRow="1" firstDataCol="1"/>
  <pivotFields>
    <pivotField name="Invoice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Engage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nvoic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u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Invoic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ervice_Line" axis="axisRow" compact="0" outline="0" multipleItemSelectionAllowed="1" showAll="0" sortType="ascending">
      <items>
        <item x="3"/>
        <item x="2"/>
        <item x="4"/>
        <item x="1"/>
        <item x="0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ount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Outstand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ays_Overd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geing_Bucket" axis="axisCol" compact="0" outline="0" multipleItemSelectionAllowed="1" showAll="0" sortType="ascending">
      <items>
        <item h="1" x="5"/>
        <item x="4"/>
        <item x="3"/>
        <item x="2"/>
        <item x="0"/>
        <item x="6"/>
        <item h="1" x="1"/>
        <item t="default"/>
      </items>
    </pivotField>
    <pivotField name="Invoice_Month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colFields>
    <field x="11"/>
  </colFields>
  <dataFields>
    <dataField name="Consulting" fld="9" baseField="0"/>
  </dataFields>
</pivotTableDefinition>
</file>

<file path=xl/pivotTables/pivotTable2.xml><?xml version="1.0" encoding="utf-8"?>
<pivotTableDefinition xmlns="http://schemas.openxmlformats.org/spreadsheetml/2006/main" name="PV_Bill_vs_Collect" cacheId="0" dataCaption="" compact="0" compactData="0">
  <location ref="A1:D7" firstHeaderRow="0" firstDataRow="2" firstDataCol="0"/>
  <pivotFields>
    <pivotField name="Invoice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Engage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nvoic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u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Invoice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ervice_Line" axis="axisRow" compact="0" outline="0" multipleItemSelectionAllowed="1" showAll="0" sortType="ascending">
      <items>
        <item x="3"/>
        <item x="2"/>
        <item x="4"/>
        <item x="1"/>
        <item x="0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ount_Receiv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Outstand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ays_Overd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geing_Bucke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oice_Month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colFields>
    <field x="-2"/>
  </colFields>
  <dataFields>
    <dataField name="SUM of Invoice_Amount" fld="4" baseField="0"/>
    <dataField name="SUM of Amount_Received" fld="8" baseField="0"/>
    <dataField name="SUM of Outstanding" fld="9" baseField="0"/>
  </dataFields>
</pivotTableDefinition>
</file>

<file path=xl/pivotTables/pivotTable3.xml><?xml version="1.0" encoding="utf-8"?>
<pivotTableDefinition xmlns="http://schemas.openxmlformats.org/spreadsheetml/2006/main" name="PV_Top_Overdue" cacheId="0" dataCaption="" compact="0" compactData="0">
  <location ref="A3:B16" firstHeaderRow="0" firstDataRow="1" firstDataCol="0" rowPageCount="1" colPageCount="1"/>
  <pivotFields>
    <pivotField name="Invoice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Engage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nvoic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Du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Invoic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Clien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rvice_Li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rt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mount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Outstand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ays_Overd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geing_Bucket" axis="axisPage" compact="0" outline="0" multipleItemSelectionAllowed="1" showAll="0">
      <items>
        <item x="0"/>
        <item h="1" x="1"/>
        <item x="2"/>
        <item h="1" x="3"/>
        <item h="1" x="4"/>
        <item h="1" x="5"/>
        <item h="1" x="6"/>
        <item t="default"/>
      </items>
    </pivotField>
    <pivotField name="Invoice_Month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pageFields>
    <pageField fld="11"/>
  </pageFields>
  <dataFields>
    <dataField name="SUM of Outstanding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23</v>
      </c>
      <c r="B2" s="3" t="s">
        <v>24</v>
      </c>
      <c r="C2" s="3" t="s">
        <v>25</v>
      </c>
      <c r="D2" s="3" t="s">
        <v>26</v>
      </c>
      <c r="E2" s="3">
        <v>2400000.0</v>
      </c>
      <c r="F2" s="3">
        <v>30.0</v>
      </c>
      <c r="G2" s="4">
        <v>46143.0</v>
      </c>
    </row>
    <row r="3">
      <c r="A3" s="3" t="s">
        <v>33</v>
      </c>
      <c r="B3" s="3" t="s">
        <v>34</v>
      </c>
      <c r="C3" s="3" t="s">
        <v>35</v>
      </c>
      <c r="D3" s="3" t="s">
        <v>36</v>
      </c>
      <c r="E3" s="3">
        <v>8300000.0</v>
      </c>
      <c r="F3" s="3">
        <v>30.0</v>
      </c>
      <c r="G3" s="4">
        <v>46130.0</v>
      </c>
    </row>
    <row r="4">
      <c r="A4" s="3" t="s">
        <v>41</v>
      </c>
      <c r="B4" s="3" t="s">
        <v>42</v>
      </c>
      <c r="C4" s="3" t="s">
        <v>43</v>
      </c>
      <c r="D4" s="3" t="s">
        <v>44</v>
      </c>
      <c r="E4" s="3">
        <v>6000000.0</v>
      </c>
      <c r="F4" s="3">
        <v>30.0</v>
      </c>
      <c r="G4" s="4">
        <v>46147.0</v>
      </c>
    </row>
    <row r="5">
      <c r="A5" s="3" t="s">
        <v>47</v>
      </c>
      <c r="B5" s="3" t="s">
        <v>48</v>
      </c>
      <c r="C5" s="3" t="s">
        <v>50</v>
      </c>
      <c r="D5" s="3" t="s">
        <v>52</v>
      </c>
      <c r="E5" s="3">
        <v>2400000.0</v>
      </c>
      <c r="F5" s="3">
        <v>30.0</v>
      </c>
      <c r="G5" s="4">
        <v>46140.0</v>
      </c>
    </row>
    <row r="6">
      <c r="A6" s="3" t="s">
        <v>55</v>
      </c>
      <c r="B6" s="3" t="s">
        <v>56</v>
      </c>
      <c r="C6" s="3" t="s">
        <v>25</v>
      </c>
      <c r="D6" s="3" t="s">
        <v>26</v>
      </c>
      <c r="E6" s="3">
        <v>3600000.0</v>
      </c>
      <c r="F6" s="3">
        <v>30.0</v>
      </c>
      <c r="G6" s="4">
        <v>46116.0</v>
      </c>
    </row>
    <row r="7">
      <c r="A7" s="3" t="s">
        <v>59</v>
      </c>
      <c r="B7" s="3" t="s">
        <v>60</v>
      </c>
      <c r="C7" s="3" t="s">
        <v>35</v>
      </c>
      <c r="D7" s="3" t="s">
        <v>36</v>
      </c>
      <c r="E7" s="3">
        <v>7000000.0</v>
      </c>
      <c r="F7" s="3">
        <v>30.0</v>
      </c>
      <c r="G7" s="4">
        <v>46152.0</v>
      </c>
    </row>
    <row r="8">
      <c r="A8" s="3" t="s">
        <v>64</v>
      </c>
      <c r="B8" s="3" t="s">
        <v>66</v>
      </c>
      <c r="C8" s="3" t="s">
        <v>43</v>
      </c>
      <c r="D8" s="3" t="s">
        <v>44</v>
      </c>
      <c r="E8" s="3">
        <v>9200000.0</v>
      </c>
      <c r="F8" s="3">
        <v>60.0</v>
      </c>
      <c r="G8" s="4">
        <v>46143.0</v>
      </c>
    </row>
    <row r="9">
      <c r="A9" s="3" t="s">
        <v>69</v>
      </c>
      <c r="B9" s="3" t="s">
        <v>70</v>
      </c>
      <c r="C9" s="3" t="s">
        <v>50</v>
      </c>
      <c r="D9" s="3" t="s">
        <v>52</v>
      </c>
      <c r="E9" s="3">
        <v>9000000.0</v>
      </c>
      <c r="F9" s="3">
        <v>45.0</v>
      </c>
      <c r="G9" s="4">
        <v>46144.0</v>
      </c>
    </row>
    <row r="10">
      <c r="A10" s="3" t="s">
        <v>65</v>
      </c>
      <c r="B10" s="3" t="s">
        <v>73</v>
      </c>
      <c r="C10" s="3" t="s">
        <v>25</v>
      </c>
      <c r="D10" s="3" t="s">
        <v>74</v>
      </c>
      <c r="E10" s="3">
        <v>6800000.0</v>
      </c>
      <c r="F10" s="3">
        <v>60.0</v>
      </c>
      <c r="G10" s="4">
        <v>46118.0</v>
      </c>
    </row>
    <row r="11">
      <c r="A11" s="3" t="s">
        <v>76</v>
      </c>
      <c r="B11" s="3" t="s">
        <v>77</v>
      </c>
      <c r="C11" s="3" t="s">
        <v>35</v>
      </c>
      <c r="D11" s="3" t="s">
        <v>36</v>
      </c>
      <c r="E11" s="3">
        <v>1.03E7</v>
      </c>
      <c r="F11" s="3">
        <v>30.0</v>
      </c>
      <c r="G11" s="4">
        <v>46131.0</v>
      </c>
    </row>
    <row r="12">
      <c r="A12" s="3" t="s">
        <v>82</v>
      </c>
      <c r="B12" s="3" t="s">
        <v>83</v>
      </c>
      <c r="C12" s="3" t="s">
        <v>43</v>
      </c>
      <c r="D12" s="3" t="s">
        <v>44</v>
      </c>
      <c r="E12" s="3">
        <v>6700000.0</v>
      </c>
      <c r="F12" s="3">
        <v>30.0</v>
      </c>
      <c r="G12" s="4">
        <v>46127.0</v>
      </c>
    </row>
    <row r="13">
      <c r="A13" s="3" t="s">
        <v>86</v>
      </c>
      <c r="B13" s="3" t="s">
        <v>89</v>
      </c>
      <c r="C13" s="3" t="s">
        <v>50</v>
      </c>
      <c r="D13" s="3" t="s">
        <v>91</v>
      </c>
      <c r="E13" s="3">
        <v>3400000.0</v>
      </c>
      <c r="F13" s="3">
        <v>30.0</v>
      </c>
      <c r="G13" s="4">
        <v>46150.0</v>
      </c>
    </row>
    <row r="14">
      <c r="A14" s="3" t="s">
        <v>93</v>
      </c>
      <c r="B14" s="3" t="s">
        <v>95</v>
      </c>
      <c r="C14" s="3" t="s">
        <v>25</v>
      </c>
      <c r="D14" s="3" t="s">
        <v>26</v>
      </c>
      <c r="E14" s="3">
        <v>9700000.0</v>
      </c>
      <c r="F14" s="3">
        <v>45.0</v>
      </c>
      <c r="G14" s="4">
        <v>46138.0</v>
      </c>
    </row>
    <row r="15">
      <c r="A15" s="3" t="s">
        <v>97</v>
      </c>
      <c r="B15" s="3" t="s">
        <v>99</v>
      </c>
      <c r="C15" s="3" t="s">
        <v>35</v>
      </c>
      <c r="D15" s="3" t="s">
        <v>100</v>
      </c>
      <c r="E15" s="3">
        <v>5700000.0</v>
      </c>
      <c r="F15" s="3">
        <v>30.0</v>
      </c>
      <c r="G15" s="4">
        <v>46145.0</v>
      </c>
    </row>
    <row r="16">
      <c r="A16" s="3" t="s">
        <v>102</v>
      </c>
      <c r="B16" s="3" t="s">
        <v>103</v>
      </c>
      <c r="C16" s="3" t="s">
        <v>43</v>
      </c>
      <c r="D16" s="3" t="s">
        <v>104</v>
      </c>
      <c r="E16" s="3">
        <v>7200000.0</v>
      </c>
      <c r="F16" s="3">
        <v>45.0</v>
      </c>
      <c r="G16" s="4">
        <v>46130.0</v>
      </c>
    </row>
    <row r="17">
      <c r="A17" s="3" t="s">
        <v>68</v>
      </c>
      <c r="B17" s="3" t="s">
        <v>109</v>
      </c>
      <c r="C17" s="3" t="s">
        <v>50</v>
      </c>
      <c r="D17" s="3" t="s">
        <v>52</v>
      </c>
      <c r="E17" s="3">
        <v>6200000.0</v>
      </c>
      <c r="F17" s="3">
        <v>30.0</v>
      </c>
      <c r="G17" s="4">
        <v>46122.0</v>
      </c>
    </row>
    <row r="18">
      <c r="A18" s="3" t="s">
        <v>112</v>
      </c>
      <c r="B18" s="3" t="s">
        <v>114</v>
      </c>
      <c r="C18" s="3" t="s">
        <v>25</v>
      </c>
      <c r="D18" s="3" t="s">
        <v>26</v>
      </c>
      <c r="E18" s="3">
        <v>2400000.0</v>
      </c>
      <c r="F18" s="3">
        <v>45.0</v>
      </c>
      <c r="G18" s="4">
        <v>46135.0</v>
      </c>
    </row>
    <row r="19">
      <c r="A19" s="3" t="s">
        <v>58</v>
      </c>
      <c r="B19" s="3" t="s">
        <v>118</v>
      </c>
      <c r="C19" s="3" t="s">
        <v>35</v>
      </c>
      <c r="D19" s="3" t="s">
        <v>100</v>
      </c>
      <c r="E19" s="3">
        <v>1.08E7</v>
      </c>
      <c r="F19" s="3">
        <v>30.0</v>
      </c>
      <c r="G19" s="4">
        <v>46115.0</v>
      </c>
    </row>
    <row r="20">
      <c r="A20" s="3" t="s">
        <v>121</v>
      </c>
      <c r="B20" s="3" t="s">
        <v>122</v>
      </c>
      <c r="C20" s="3" t="s">
        <v>43</v>
      </c>
      <c r="D20" s="3" t="s">
        <v>104</v>
      </c>
      <c r="E20" s="3">
        <v>1.05E7</v>
      </c>
      <c r="F20" s="3">
        <v>60.0</v>
      </c>
      <c r="G20" s="4">
        <v>46146.0</v>
      </c>
    </row>
    <row r="21">
      <c r="A21" s="3" t="s">
        <v>72</v>
      </c>
      <c r="B21" s="3" t="s">
        <v>126</v>
      </c>
      <c r="C21" s="3" t="s">
        <v>50</v>
      </c>
      <c r="D21" s="3" t="s">
        <v>91</v>
      </c>
      <c r="E21" s="3">
        <v>4400000.0</v>
      </c>
      <c r="F21" s="3">
        <v>45.0</v>
      </c>
      <c r="G21" s="4">
        <v>46138.0</v>
      </c>
    </row>
    <row r="22">
      <c r="A22" s="3" t="s">
        <v>128</v>
      </c>
      <c r="B22" s="3" t="s">
        <v>131</v>
      </c>
      <c r="C22" s="3" t="s">
        <v>25</v>
      </c>
      <c r="D22" s="3" t="s">
        <v>26</v>
      </c>
      <c r="E22" s="3">
        <v>3200000.0</v>
      </c>
      <c r="F22" s="3">
        <v>45.0</v>
      </c>
      <c r="G22" s="4">
        <v>46143.0</v>
      </c>
    </row>
    <row r="23">
      <c r="A23" s="3" t="s">
        <v>124</v>
      </c>
      <c r="B23" s="3" t="s">
        <v>134</v>
      </c>
      <c r="C23" s="3" t="s">
        <v>35</v>
      </c>
      <c r="D23" s="3" t="s">
        <v>36</v>
      </c>
      <c r="E23" s="3">
        <v>8800000.0</v>
      </c>
      <c r="F23" s="3">
        <v>30.0</v>
      </c>
      <c r="G23" s="4">
        <v>46127.0</v>
      </c>
    </row>
    <row r="24">
      <c r="A24" s="3" t="s">
        <v>137</v>
      </c>
      <c r="B24" s="3" t="s">
        <v>138</v>
      </c>
      <c r="C24" s="3" t="s">
        <v>43</v>
      </c>
      <c r="D24" s="3" t="s">
        <v>104</v>
      </c>
      <c r="E24" s="3">
        <v>2200000.0</v>
      </c>
      <c r="F24" s="3">
        <v>60.0</v>
      </c>
      <c r="G24" s="4">
        <v>46151.0</v>
      </c>
    </row>
    <row r="25">
      <c r="A25" s="3" t="s">
        <v>142</v>
      </c>
      <c r="B25" s="3" t="s">
        <v>143</v>
      </c>
      <c r="C25" s="3" t="s">
        <v>50</v>
      </c>
      <c r="D25" s="3" t="s">
        <v>91</v>
      </c>
      <c r="E25" s="3">
        <v>6100000.0</v>
      </c>
      <c r="F25" s="3">
        <v>30.0</v>
      </c>
      <c r="G25" s="4">
        <v>46148.0</v>
      </c>
    </row>
    <row r="26">
      <c r="A26" s="3" t="s">
        <v>147</v>
      </c>
      <c r="B26" s="3" t="s">
        <v>148</v>
      </c>
      <c r="C26" s="3" t="s">
        <v>25</v>
      </c>
      <c r="D26" s="3" t="s">
        <v>26</v>
      </c>
      <c r="E26" s="3">
        <v>8600000.0</v>
      </c>
      <c r="F26" s="3">
        <v>30.0</v>
      </c>
      <c r="G26" s="4">
        <v>46144.0</v>
      </c>
    </row>
    <row r="27">
      <c r="A27" s="3" t="s">
        <v>31</v>
      </c>
      <c r="B27" s="3" t="s">
        <v>151</v>
      </c>
      <c r="C27" s="3" t="s">
        <v>35</v>
      </c>
      <c r="D27" s="3" t="s">
        <v>100</v>
      </c>
      <c r="E27" s="3">
        <v>9400000.0</v>
      </c>
      <c r="F27" s="3">
        <v>60.0</v>
      </c>
      <c r="G27" s="4">
        <v>46120.0</v>
      </c>
    </row>
    <row r="28">
      <c r="A28" s="3" t="s">
        <v>62</v>
      </c>
      <c r="B28" s="3" t="s">
        <v>155</v>
      </c>
      <c r="C28" s="3" t="s">
        <v>43</v>
      </c>
      <c r="D28" s="3" t="s">
        <v>104</v>
      </c>
      <c r="E28" s="3">
        <v>5300000.0</v>
      </c>
      <c r="F28" s="3">
        <v>30.0</v>
      </c>
      <c r="G28" s="4">
        <v>46131.0</v>
      </c>
    </row>
    <row r="29">
      <c r="A29" s="3" t="s">
        <v>40</v>
      </c>
      <c r="B29" s="3" t="s">
        <v>159</v>
      </c>
      <c r="C29" s="3" t="s">
        <v>50</v>
      </c>
      <c r="D29" s="3" t="s">
        <v>91</v>
      </c>
      <c r="E29" s="3">
        <v>6700000.0</v>
      </c>
      <c r="F29" s="3">
        <v>60.0</v>
      </c>
      <c r="G29" s="4">
        <v>46114.0</v>
      </c>
    </row>
    <row r="30">
      <c r="A30" s="3" t="s">
        <v>81</v>
      </c>
      <c r="B30" s="3" t="s">
        <v>161</v>
      </c>
      <c r="C30" s="3" t="s">
        <v>25</v>
      </c>
      <c r="D30" s="3" t="s">
        <v>74</v>
      </c>
      <c r="E30" s="3">
        <v>7200000.0</v>
      </c>
      <c r="F30" s="3">
        <v>30.0</v>
      </c>
      <c r="G30" s="4">
        <v>46119.0</v>
      </c>
    </row>
    <row r="31">
      <c r="A31" s="3" t="s">
        <v>38</v>
      </c>
      <c r="B31" s="3" t="s">
        <v>164</v>
      </c>
      <c r="C31" s="3" t="s">
        <v>35</v>
      </c>
      <c r="D31" s="3" t="s">
        <v>100</v>
      </c>
      <c r="E31" s="3">
        <v>9300000.0</v>
      </c>
      <c r="F31" s="3">
        <v>30.0</v>
      </c>
      <c r="G31" s="4">
        <v>46140.0</v>
      </c>
    </row>
    <row r="32">
      <c r="A32" s="3" t="s">
        <v>94</v>
      </c>
      <c r="B32" s="3" t="s">
        <v>168</v>
      </c>
      <c r="C32" s="3" t="s">
        <v>43</v>
      </c>
      <c r="D32" s="3" t="s">
        <v>104</v>
      </c>
      <c r="E32" s="3">
        <v>1.11E7</v>
      </c>
      <c r="F32" s="3">
        <v>60.0</v>
      </c>
      <c r="G32" s="4">
        <v>46142.0</v>
      </c>
    </row>
    <row r="33">
      <c r="A33" s="3" t="s">
        <v>171</v>
      </c>
      <c r="B33" s="3" t="s">
        <v>173</v>
      </c>
      <c r="C33" s="3" t="s">
        <v>50</v>
      </c>
      <c r="D33" s="3" t="s">
        <v>91</v>
      </c>
      <c r="E33" s="3">
        <v>5300000.0</v>
      </c>
      <c r="F33" s="3">
        <v>30.0</v>
      </c>
      <c r="G33" s="4">
        <v>46151.0</v>
      </c>
    </row>
    <row r="34">
      <c r="A34" s="3" t="s">
        <v>117</v>
      </c>
      <c r="B34" s="3" t="s">
        <v>175</v>
      </c>
      <c r="C34" s="3" t="s">
        <v>25</v>
      </c>
      <c r="D34" s="3" t="s">
        <v>26</v>
      </c>
      <c r="E34" s="3">
        <v>5800000.0</v>
      </c>
      <c r="F34" s="3">
        <v>30.0</v>
      </c>
      <c r="G34" s="4">
        <v>46126.0</v>
      </c>
    </row>
    <row r="35">
      <c r="A35" s="3" t="s">
        <v>90</v>
      </c>
      <c r="B35" s="3" t="s">
        <v>179</v>
      </c>
      <c r="C35" s="3" t="s">
        <v>35</v>
      </c>
      <c r="D35" s="3" t="s">
        <v>100</v>
      </c>
      <c r="E35" s="3">
        <v>1.1E7</v>
      </c>
      <c r="F35" s="3">
        <v>30.0</v>
      </c>
      <c r="G35" s="4">
        <v>46127.0</v>
      </c>
    </row>
    <row r="36">
      <c r="A36" s="3" t="s">
        <v>51</v>
      </c>
      <c r="B36" s="3" t="s">
        <v>182</v>
      </c>
      <c r="C36" s="3" t="s">
        <v>43</v>
      </c>
      <c r="D36" s="3" t="s">
        <v>104</v>
      </c>
      <c r="E36" s="3">
        <v>2300000.0</v>
      </c>
      <c r="F36" s="3">
        <v>60.0</v>
      </c>
      <c r="G36" s="4">
        <v>46131.0</v>
      </c>
    </row>
    <row r="37">
      <c r="A37" s="3" t="s">
        <v>79</v>
      </c>
      <c r="B37" s="3" t="s">
        <v>185</v>
      </c>
      <c r="C37" s="3" t="s">
        <v>50</v>
      </c>
      <c r="D37" s="3" t="s">
        <v>52</v>
      </c>
      <c r="E37" s="3">
        <v>9800000.0</v>
      </c>
      <c r="F37" s="3">
        <v>45.0</v>
      </c>
      <c r="G37" s="4">
        <v>46120.0</v>
      </c>
    </row>
    <row r="38">
      <c r="A38" s="3" t="s">
        <v>115</v>
      </c>
      <c r="B38" s="3" t="s">
        <v>188</v>
      </c>
      <c r="C38" s="3" t="s">
        <v>25</v>
      </c>
      <c r="D38" s="3" t="s">
        <v>74</v>
      </c>
      <c r="E38" s="3">
        <v>6300000.0</v>
      </c>
      <c r="F38" s="3">
        <v>45.0</v>
      </c>
      <c r="G38" s="4">
        <v>46118.0</v>
      </c>
    </row>
    <row r="39">
      <c r="A39" s="3" t="s">
        <v>22</v>
      </c>
      <c r="B39" s="3" t="s">
        <v>190</v>
      </c>
      <c r="C39" s="3" t="s">
        <v>35</v>
      </c>
      <c r="D39" s="3" t="s">
        <v>100</v>
      </c>
      <c r="E39" s="3">
        <v>8700000.0</v>
      </c>
      <c r="F39" s="3">
        <v>45.0</v>
      </c>
      <c r="G39" s="4">
        <v>46132.0</v>
      </c>
    </row>
    <row r="40">
      <c r="A40" s="3" t="s">
        <v>46</v>
      </c>
      <c r="B40" s="3" t="s">
        <v>194</v>
      </c>
      <c r="C40" s="3" t="s">
        <v>43</v>
      </c>
      <c r="D40" s="3" t="s">
        <v>44</v>
      </c>
      <c r="E40" s="3">
        <v>4900000.0</v>
      </c>
      <c r="F40" s="3">
        <v>60.0</v>
      </c>
      <c r="G40" s="4">
        <v>46122.0</v>
      </c>
    </row>
    <row r="41">
      <c r="A41" s="3" t="s">
        <v>54</v>
      </c>
      <c r="B41" s="3" t="s">
        <v>196</v>
      </c>
      <c r="C41" s="3" t="s">
        <v>50</v>
      </c>
      <c r="D41" s="3" t="s">
        <v>52</v>
      </c>
      <c r="E41" s="3">
        <v>7400000.0</v>
      </c>
      <c r="F41" s="3">
        <v>30.0</v>
      </c>
      <c r="G41" s="4">
        <v>46139.0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75"/>
  </cols>
  <sheetData>
    <row r="1">
      <c r="A1" s="1" t="s">
        <v>3</v>
      </c>
      <c r="B1" s="1" t="s">
        <v>1</v>
      </c>
      <c r="C1" s="1" t="s">
        <v>6</v>
      </c>
      <c r="D1" s="1" t="s">
        <v>7</v>
      </c>
      <c r="E1" s="1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</v>
      </c>
      <c r="B2" s="3" t="s">
        <v>22</v>
      </c>
      <c r="C2" s="4">
        <v>46146.0</v>
      </c>
      <c r="D2" s="4">
        <v>46191.0</v>
      </c>
      <c r="E2" s="3">
        <v>1103000.0</v>
      </c>
    </row>
    <row r="3">
      <c r="A3" s="3" t="s">
        <v>30</v>
      </c>
      <c r="B3" s="3" t="s">
        <v>31</v>
      </c>
      <c r="C3" s="4">
        <v>46146.0</v>
      </c>
      <c r="D3" s="4">
        <v>46206.0</v>
      </c>
      <c r="E3" s="3">
        <v>984000.0</v>
      </c>
    </row>
    <row r="4">
      <c r="A4" s="3" t="s">
        <v>37</v>
      </c>
      <c r="B4" s="3" t="s">
        <v>38</v>
      </c>
      <c r="C4" s="4">
        <v>46146.0</v>
      </c>
      <c r="D4" s="4">
        <v>46176.0</v>
      </c>
      <c r="E4" s="3">
        <v>1229000.0</v>
      </c>
    </row>
    <row r="5">
      <c r="A5" s="3" t="s">
        <v>39</v>
      </c>
      <c r="B5" s="3" t="s">
        <v>40</v>
      </c>
      <c r="C5" s="4">
        <v>46147.0</v>
      </c>
      <c r="D5" s="4">
        <v>46207.0</v>
      </c>
      <c r="E5" s="3">
        <v>737000.0</v>
      </c>
    </row>
    <row r="6">
      <c r="A6" s="3" t="s">
        <v>45</v>
      </c>
      <c r="B6" s="3" t="s">
        <v>46</v>
      </c>
      <c r="C6" s="4">
        <v>46148.0</v>
      </c>
      <c r="D6" s="4">
        <v>46208.0</v>
      </c>
      <c r="E6" s="3">
        <v>739000.0</v>
      </c>
    </row>
    <row r="7">
      <c r="A7" s="3" t="s">
        <v>49</v>
      </c>
      <c r="B7" s="3" t="s">
        <v>51</v>
      </c>
      <c r="C7" s="4">
        <v>46149.0</v>
      </c>
      <c r="D7" s="4">
        <v>46209.0</v>
      </c>
      <c r="E7" s="3">
        <v>228000.0</v>
      </c>
    </row>
    <row r="8">
      <c r="A8" s="3" t="s">
        <v>53</v>
      </c>
      <c r="B8" s="3" t="s">
        <v>54</v>
      </c>
      <c r="C8" s="4">
        <v>46149.0</v>
      </c>
      <c r="D8" s="4">
        <v>46179.0</v>
      </c>
      <c r="E8" s="3">
        <v>945000.0</v>
      </c>
    </row>
    <row r="9">
      <c r="A9" s="3" t="s">
        <v>57</v>
      </c>
      <c r="B9" s="3" t="s">
        <v>58</v>
      </c>
      <c r="C9" s="4">
        <v>46149.0</v>
      </c>
      <c r="D9" s="4">
        <v>46179.0</v>
      </c>
      <c r="E9" s="3">
        <v>1394000.0</v>
      </c>
    </row>
    <row r="10">
      <c r="A10" s="3" t="s">
        <v>61</v>
      </c>
      <c r="B10" s="3" t="s">
        <v>62</v>
      </c>
      <c r="C10" s="4">
        <v>46150.0</v>
      </c>
      <c r="D10" s="4">
        <v>46180.0</v>
      </c>
      <c r="E10" s="3">
        <v>783000.0</v>
      </c>
    </row>
    <row r="11">
      <c r="A11" s="3" t="s">
        <v>63</v>
      </c>
      <c r="B11" s="3" t="s">
        <v>65</v>
      </c>
      <c r="C11" s="4">
        <v>46151.0</v>
      </c>
      <c r="D11" s="4">
        <v>46211.0</v>
      </c>
      <c r="E11" s="3">
        <v>916000.0</v>
      </c>
    </row>
    <row r="12">
      <c r="A12" s="3" t="s">
        <v>67</v>
      </c>
      <c r="B12" s="3" t="s">
        <v>68</v>
      </c>
      <c r="C12" s="4">
        <v>46156.0</v>
      </c>
      <c r="D12" s="4">
        <v>46186.0</v>
      </c>
      <c r="E12" s="3">
        <v>581000.0</v>
      </c>
    </row>
    <row r="13">
      <c r="A13" s="3" t="s">
        <v>71</v>
      </c>
      <c r="B13" s="3" t="s">
        <v>72</v>
      </c>
      <c r="C13" s="4">
        <v>46156.0</v>
      </c>
      <c r="D13" s="4">
        <v>46201.0</v>
      </c>
      <c r="E13" s="3">
        <v>490000.0</v>
      </c>
    </row>
    <row r="14">
      <c r="A14" s="3" t="s">
        <v>29</v>
      </c>
      <c r="B14" s="3" t="s">
        <v>47</v>
      </c>
      <c r="C14" s="4">
        <v>46156.0</v>
      </c>
      <c r="D14" s="4">
        <v>46186.0</v>
      </c>
      <c r="E14" s="3">
        <v>295000.0</v>
      </c>
    </row>
    <row r="15">
      <c r="A15" s="3" t="s">
        <v>75</v>
      </c>
      <c r="B15" s="3" t="s">
        <v>23</v>
      </c>
      <c r="C15" s="4">
        <v>46156.0</v>
      </c>
      <c r="D15" s="4">
        <v>46186.0</v>
      </c>
      <c r="E15" s="3">
        <v>360000.0</v>
      </c>
    </row>
    <row r="16">
      <c r="A16" s="3" t="s">
        <v>78</v>
      </c>
      <c r="B16" s="3" t="s">
        <v>79</v>
      </c>
      <c r="C16" s="4">
        <v>46157.0</v>
      </c>
      <c r="D16" s="4">
        <v>46202.0</v>
      </c>
      <c r="E16" s="3">
        <v>1147000.0</v>
      </c>
    </row>
    <row r="17">
      <c r="A17" s="3" t="s">
        <v>80</v>
      </c>
      <c r="B17" s="3" t="s">
        <v>81</v>
      </c>
      <c r="C17" s="4">
        <v>46157.0</v>
      </c>
      <c r="D17" s="4">
        <v>46187.0</v>
      </c>
      <c r="E17" s="3">
        <v>1129000.0</v>
      </c>
    </row>
    <row r="18">
      <c r="A18" s="3" t="s">
        <v>84</v>
      </c>
      <c r="B18" s="3" t="s">
        <v>55</v>
      </c>
      <c r="C18" s="4">
        <v>46159.0</v>
      </c>
      <c r="D18" s="4">
        <v>46189.0</v>
      </c>
      <c r="E18" s="3">
        <v>466000.0</v>
      </c>
    </row>
    <row r="19">
      <c r="A19" s="3" t="s">
        <v>87</v>
      </c>
      <c r="B19" s="3" t="s">
        <v>90</v>
      </c>
      <c r="C19" s="4">
        <v>46159.0</v>
      </c>
      <c r="D19" s="4">
        <v>46189.0</v>
      </c>
      <c r="E19" s="3">
        <v>1083000.0</v>
      </c>
    </row>
    <row r="20">
      <c r="A20" s="3" t="s">
        <v>92</v>
      </c>
      <c r="B20" s="3" t="s">
        <v>94</v>
      </c>
      <c r="C20" s="4">
        <v>46160.0</v>
      </c>
      <c r="D20" s="4">
        <v>46220.0</v>
      </c>
      <c r="E20" s="3">
        <v>986000.0</v>
      </c>
    </row>
    <row r="21">
      <c r="A21" s="3" t="s">
        <v>96</v>
      </c>
      <c r="B21" s="3" t="s">
        <v>93</v>
      </c>
      <c r="C21" s="4">
        <v>46160.0</v>
      </c>
      <c r="D21" s="4">
        <v>46205.0</v>
      </c>
      <c r="E21" s="3">
        <v>910000.0</v>
      </c>
    </row>
    <row r="22">
      <c r="A22" s="3" t="s">
        <v>101</v>
      </c>
      <c r="B22" s="3" t="s">
        <v>33</v>
      </c>
      <c r="C22" s="4">
        <v>46161.0</v>
      </c>
      <c r="D22" s="4">
        <v>46191.0</v>
      </c>
      <c r="E22" s="3">
        <v>813000.0</v>
      </c>
    </row>
    <row r="23">
      <c r="A23" s="3" t="s">
        <v>106</v>
      </c>
      <c r="B23" s="3" t="s">
        <v>82</v>
      </c>
      <c r="C23" s="4">
        <v>46162.0</v>
      </c>
      <c r="D23" s="4">
        <v>46192.0</v>
      </c>
      <c r="E23" s="3">
        <v>635000.0</v>
      </c>
    </row>
    <row r="24">
      <c r="A24" s="3" t="s">
        <v>110</v>
      </c>
      <c r="B24" s="3" t="s">
        <v>64</v>
      </c>
      <c r="C24" s="4">
        <v>46164.0</v>
      </c>
      <c r="D24" s="4">
        <v>46224.0</v>
      </c>
      <c r="E24" s="3">
        <v>1263000.0</v>
      </c>
    </row>
    <row r="25">
      <c r="A25" s="3" t="s">
        <v>113</v>
      </c>
      <c r="B25" s="3" t="s">
        <v>115</v>
      </c>
      <c r="C25" s="4">
        <v>46164.0</v>
      </c>
      <c r="D25" s="4">
        <v>46209.0</v>
      </c>
      <c r="E25" s="3">
        <v>572000.0</v>
      </c>
    </row>
    <row r="26">
      <c r="A26" s="3" t="s">
        <v>116</v>
      </c>
      <c r="B26" s="3" t="s">
        <v>117</v>
      </c>
      <c r="C26" s="4">
        <v>46165.0</v>
      </c>
      <c r="D26" s="4">
        <v>46195.0</v>
      </c>
      <c r="E26" s="3">
        <v>705000.0</v>
      </c>
    </row>
    <row r="27">
      <c r="A27" s="3" t="s">
        <v>120</v>
      </c>
      <c r="B27" s="3" t="s">
        <v>76</v>
      </c>
      <c r="C27" s="4">
        <v>46166.0</v>
      </c>
      <c r="D27" s="4">
        <v>46196.0</v>
      </c>
      <c r="E27" s="3">
        <v>1442000.0</v>
      </c>
    </row>
    <row r="28">
      <c r="A28" s="3" t="s">
        <v>123</v>
      </c>
      <c r="B28" s="3" t="s">
        <v>124</v>
      </c>
      <c r="C28" s="4">
        <v>46166.0</v>
      </c>
      <c r="D28" s="4">
        <v>46196.0</v>
      </c>
      <c r="E28" s="3">
        <v>1112000.0</v>
      </c>
    </row>
    <row r="29">
      <c r="A29" s="3" t="s">
        <v>127</v>
      </c>
      <c r="B29" s="3" t="s">
        <v>128</v>
      </c>
      <c r="C29" s="4">
        <v>46167.0</v>
      </c>
      <c r="D29" s="4">
        <v>46212.0</v>
      </c>
      <c r="E29" s="3">
        <v>320000.0</v>
      </c>
    </row>
    <row r="30">
      <c r="A30" s="3" t="s">
        <v>129</v>
      </c>
      <c r="B30" s="3" t="s">
        <v>112</v>
      </c>
      <c r="C30" s="4">
        <v>46167.0</v>
      </c>
      <c r="D30" s="4">
        <v>46212.0</v>
      </c>
      <c r="E30" s="3">
        <v>304000.0</v>
      </c>
    </row>
    <row r="31">
      <c r="A31" s="3" t="s">
        <v>133</v>
      </c>
      <c r="B31" s="3" t="s">
        <v>102</v>
      </c>
      <c r="C31" s="4">
        <v>46167.0</v>
      </c>
      <c r="D31" s="4">
        <v>46212.0</v>
      </c>
      <c r="E31" s="3">
        <v>944000.0</v>
      </c>
    </row>
    <row r="32">
      <c r="A32" s="3" t="s">
        <v>136</v>
      </c>
      <c r="B32" s="3" t="s">
        <v>62</v>
      </c>
      <c r="C32" s="4">
        <v>46177.0</v>
      </c>
      <c r="D32" s="4">
        <v>46207.0</v>
      </c>
      <c r="E32" s="3">
        <v>757000.0</v>
      </c>
    </row>
    <row r="33">
      <c r="A33" s="3" t="s">
        <v>139</v>
      </c>
      <c r="B33" s="3" t="s">
        <v>59</v>
      </c>
      <c r="C33" s="4">
        <v>46177.0</v>
      </c>
      <c r="D33" s="4">
        <v>46207.0</v>
      </c>
      <c r="E33" s="3">
        <v>643000.0</v>
      </c>
    </row>
    <row r="34">
      <c r="A34" s="3" t="s">
        <v>141</v>
      </c>
      <c r="B34" s="3" t="s">
        <v>142</v>
      </c>
      <c r="C34" s="4">
        <v>46178.0</v>
      </c>
      <c r="D34" s="4">
        <v>46208.0</v>
      </c>
      <c r="E34" s="3">
        <v>604000.0</v>
      </c>
    </row>
    <row r="35">
      <c r="A35" s="3" t="s">
        <v>145</v>
      </c>
      <c r="B35" s="3" t="s">
        <v>147</v>
      </c>
      <c r="C35" s="4">
        <v>46178.0</v>
      </c>
      <c r="D35" s="4">
        <v>46208.0</v>
      </c>
      <c r="E35" s="3">
        <v>953000.0</v>
      </c>
    </row>
    <row r="36">
      <c r="A36" s="3" t="s">
        <v>149</v>
      </c>
      <c r="B36" s="3" t="s">
        <v>121</v>
      </c>
      <c r="C36" s="4">
        <v>46179.0</v>
      </c>
      <c r="D36" s="4">
        <v>46239.0</v>
      </c>
      <c r="E36" s="3">
        <v>1640000.0</v>
      </c>
    </row>
    <row r="37">
      <c r="A37" s="3" t="s">
        <v>153</v>
      </c>
      <c r="B37" s="3" t="s">
        <v>90</v>
      </c>
      <c r="C37" s="4">
        <v>46181.0</v>
      </c>
      <c r="D37" s="4">
        <v>46211.0</v>
      </c>
      <c r="E37" s="3">
        <v>1219000.0</v>
      </c>
    </row>
    <row r="38">
      <c r="A38" s="3" t="s">
        <v>154</v>
      </c>
      <c r="B38" s="3" t="s">
        <v>31</v>
      </c>
      <c r="C38" s="4">
        <v>46183.0</v>
      </c>
      <c r="D38" s="4">
        <v>46243.0</v>
      </c>
      <c r="E38" s="3">
        <v>1300000.0</v>
      </c>
    </row>
    <row r="39">
      <c r="A39" s="3" t="s">
        <v>158</v>
      </c>
      <c r="B39" s="3" t="s">
        <v>81</v>
      </c>
      <c r="C39" s="4">
        <v>46183.0</v>
      </c>
      <c r="D39" s="4">
        <v>46213.0</v>
      </c>
      <c r="E39" s="3">
        <v>643000.0</v>
      </c>
    </row>
    <row r="40">
      <c r="A40" s="3" t="s">
        <v>160</v>
      </c>
      <c r="B40" s="3" t="s">
        <v>51</v>
      </c>
      <c r="C40" s="4">
        <v>46183.0</v>
      </c>
      <c r="D40" s="4">
        <v>46243.0</v>
      </c>
      <c r="E40" s="3">
        <v>221000.0</v>
      </c>
    </row>
    <row r="41">
      <c r="A41" s="3" t="s">
        <v>163</v>
      </c>
      <c r="B41" s="3" t="s">
        <v>65</v>
      </c>
      <c r="C41" s="4">
        <v>46183.0</v>
      </c>
      <c r="D41" s="4">
        <v>46243.0</v>
      </c>
      <c r="E41" s="3">
        <v>780000.0</v>
      </c>
    </row>
    <row r="42">
      <c r="A42" s="3" t="s">
        <v>165</v>
      </c>
      <c r="B42" s="3" t="s">
        <v>82</v>
      </c>
      <c r="C42" s="4">
        <v>46183.0</v>
      </c>
      <c r="D42" s="4">
        <v>46213.0</v>
      </c>
      <c r="E42" s="3">
        <v>1040000.0</v>
      </c>
    </row>
    <row r="43">
      <c r="A43" s="3" t="s">
        <v>167</v>
      </c>
      <c r="B43" s="3" t="s">
        <v>54</v>
      </c>
      <c r="C43" s="4">
        <v>46184.0</v>
      </c>
      <c r="D43" s="4">
        <v>46214.0</v>
      </c>
      <c r="E43" s="3">
        <v>1123000.0</v>
      </c>
    </row>
    <row r="44">
      <c r="A44" s="3" t="s">
        <v>169</v>
      </c>
      <c r="B44" s="3" t="s">
        <v>112</v>
      </c>
      <c r="C44" s="4">
        <v>46184.0</v>
      </c>
      <c r="D44" s="4">
        <v>46229.0</v>
      </c>
      <c r="E44" s="3">
        <v>289000.0</v>
      </c>
    </row>
    <row r="45">
      <c r="A45" s="3" t="s">
        <v>174</v>
      </c>
      <c r="B45" s="3" t="s">
        <v>58</v>
      </c>
      <c r="C45" s="4">
        <v>46184.0</v>
      </c>
      <c r="D45" s="4">
        <v>46214.0</v>
      </c>
      <c r="E45" s="3">
        <v>1490000.0</v>
      </c>
    </row>
    <row r="46">
      <c r="A46" s="3" t="s">
        <v>177</v>
      </c>
      <c r="B46" s="3" t="s">
        <v>97</v>
      </c>
      <c r="C46" s="4">
        <v>46184.0</v>
      </c>
      <c r="D46" s="4">
        <v>46214.0</v>
      </c>
      <c r="E46" s="3">
        <v>561000.0</v>
      </c>
    </row>
    <row r="47">
      <c r="A47" s="3" t="s">
        <v>178</v>
      </c>
      <c r="B47" s="3" t="s">
        <v>22</v>
      </c>
      <c r="C47" s="4">
        <v>46185.0</v>
      </c>
      <c r="D47" s="4">
        <v>46230.0</v>
      </c>
      <c r="E47" s="3">
        <v>828000.0</v>
      </c>
    </row>
    <row r="48">
      <c r="A48" s="3" t="s">
        <v>181</v>
      </c>
      <c r="B48" s="3" t="s">
        <v>137</v>
      </c>
      <c r="C48" s="4">
        <v>46185.0</v>
      </c>
      <c r="D48" s="4">
        <v>46245.0</v>
      </c>
      <c r="E48" s="3">
        <v>208000.0</v>
      </c>
    </row>
    <row r="49">
      <c r="A49" s="3" t="s">
        <v>191</v>
      </c>
      <c r="B49" s="3" t="s">
        <v>40</v>
      </c>
      <c r="C49" s="4">
        <v>46186.0</v>
      </c>
      <c r="D49" s="4">
        <v>46246.0</v>
      </c>
      <c r="E49" s="3">
        <v>832000.0</v>
      </c>
    </row>
    <row r="50">
      <c r="A50" s="3" t="s">
        <v>193</v>
      </c>
      <c r="B50" s="3" t="s">
        <v>64</v>
      </c>
      <c r="C50" s="4">
        <v>46186.0</v>
      </c>
      <c r="D50" s="4">
        <v>46246.0</v>
      </c>
      <c r="E50" s="3">
        <v>1367000.0</v>
      </c>
    </row>
    <row r="51">
      <c r="A51" s="3" t="s">
        <v>195</v>
      </c>
      <c r="B51" s="3" t="s">
        <v>86</v>
      </c>
      <c r="C51" s="4">
        <v>46187.0</v>
      </c>
      <c r="D51" s="4">
        <v>46217.0</v>
      </c>
      <c r="E51" s="3">
        <v>491000.0</v>
      </c>
    </row>
    <row r="52">
      <c r="A52" s="3" t="s">
        <v>198</v>
      </c>
      <c r="B52" s="3" t="s">
        <v>124</v>
      </c>
      <c r="C52" s="4">
        <v>46187.0</v>
      </c>
      <c r="D52" s="4">
        <v>46217.0</v>
      </c>
      <c r="E52" s="3">
        <v>1280000.0</v>
      </c>
    </row>
    <row r="53">
      <c r="A53" s="3" t="s">
        <v>200</v>
      </c>
      <c r="B53" s="3" t="s">
        <v>69</v>
      </c>
      <c r="C53" s="4">
        <v>46187.0</v>
      </c>
      <c r="D53" s="4">
        <v>46232.0</v>
      </c>
      <c r="E53" s="3">
        <v>896000.0</v>
      </c>
    </row>
    <row r="54">
      <c r="A54" s="3" t="s">
        <v>202</v>
      </c>
      <c r="B54" s="3" t="s">
        <v>102</v>
      </c>
      <c r="C54" s="4">
        <v>46187.0</v>
      </c>
      <c r="D54" s="4">
        <v>46232.0</v>
      </c>
      <c r="E54" s="3">
        <v>949000.0</v>
      </c>
    </row>
    <row r="55">
      <c r="A55" s="3" t="s">
        <v>203</v>
      </c>
      <c r="B55" s="3" t="s">
        <v>76</v>
      </c>
      <c r="C55" s="4">
        <v>46187.0</v>
      </c>
      <c r="D55" s="4">
        <v>46217.0</v>
      </c>
      <c r="E55" s="3">
        <v>1650000.0</v>
      </c>
    </row>
    <row r="56">
      <c r="A56" s="3" t="s">
        <v>205</v>
      </c>
      <c r="B56" s="3" t="s">
        <v>117</v>
      </c>
      <c r="C56" s="4">
        <v>46189.0</v>
      </c>
      <c r="D56" s="4">
        <v>46219.0</v>
      </c>
      <c r="E56" s="3">
        <v>610000.0</v>
      </c>
    </row>
    <row r="57">
      <c r="A57" s="3" t="s">
        <v>207</v>
      </c>
      <c r="B57" s="3" t="s">
        <v>55</v>
      </c>
      <c r="C57" s="4">
        <v>46189.0</v>
      </c>
      <c r="D57" s="4">
        <v>46219.0</v>
      </c>
      <c r="E57" s="3">
        <v>397000.0</v>
      </c>
    </row>
    <row r="58">
      <c r="A58" s="3" t="s">
        <v>208</v>
      </c>
      <c r="B58" s="3" t="s">
        <v>128</v>
      </c>
      <c r="C58" s="4">
        <v>46189.0</v>
      </c>
      <c r="D58" s="4">
        <v>46234.0</v>
      </c>
      <c r="E58" s="3">
        <v>384000.0</v>
      </c>
    </row>
    <row r="59">
      <c r="A59" s="3" t="s">
        <v>211</v>
      </c>
      <c r="B59" s="3" t="s">
        <v>23</v>
      </c>
      <c r="C59" s="4">
        <v>46191.0</v>
      </c>
      <c r="D59" s="4">
        <v>46221.0</v>
      </c>
      <c r="E59" s="3">
        <v>266000.0</v>
      </c>
    </row>
    <row r="60">
      <c r="A60" s="3" t="s">
        <v>212</v>
      </c>
      <c r="B60" s="3" t="s">
        <v>47</v>
      </c>
      <c r="C60" s="4">
        <v>46192.0</v>
      </c>
      <c r="D60" s="4">
        <v>46222.0</v>
      </c>
      <c r="E60" s="3">
        <v>312000.0</v>
      </c>
    </row>
    <row r="61">
      <c r="A61" s="3" t="s">
        <v>214</v>
      </c>
      <c r="B61" s="3" t="s">
        <v>41</v>
      </c>
      <c r="C61" s="4">
        <v>46192.0</v>
      </c>
      <c r="D61" s="4">
        <v>46222.0</v>
      </c>
      <c r="E61" s="3">
        <v>842000.0</v>
      </c>
    </row>
    <row r="62">
      <c r="A62" s="3" t="s">
        <v>216</v>
      </c>
      <c r="B62" s="3" t="s">
        <v>79</v>
      </c>
      <c r="C62" s="4">
        <v>46192.0</v>
      </c>
      <c r="D62" s="4">
        <v>46237.0</v>
      </c>
      <c r="E62" s="3">
        <v>1091000.0</v>
      </c>
    </row>
    <row r="63">
      <c r="A63" s="3" t="s">
        <v>218</v>
      </c>
      <c r="B63" s="3" t="s">
        <v>93</v>
      </c>
      <c r="C63" s="4">
        <v>46194.0</v>
      </c>
      <c r="D63" s="4">
        <v>46239.0</v>
      </c>
      <c r="E63" s="3">
        <v>879000.0</v>
      </c>
    </row>
    <row r="64">
      <c r="A64" s="3" t="s">
        <v>221</v>
      </c>
      <c r="B64" s="3" t="s">
        <v>94</v>
      </c>
      <c r="C64" s="4">
        <v>46195.0</v>
      </c>
      <c r="D64" s="4">
        <v>46255.0</v>
      </c>
      <c r="E64" s="3">
        <v>1062000.0</v>
      </c>
    </row>
    <row r="65">
      <c r="A65" s="3" t="s">
        <v>222</v>
      </c>
      <c r="B65" s="3" t="s">
        <v>46</v>
      </c>
      <c r="C65" s="4">
        <v>46195.0</v>
      </c>
      <c r="D65" s="4">
        <v>46255.0</v>
      </c>
      <c r="E65" s="3">
        <v>789000.0</v>
      </c>
    </row>
    <row r="66">
      <c r="A66" s="3" t="s">
        <v>224</v>
      </c>
      <c r="B66" s="3" t="s">
        <v>72</v>
      </c>
      <c r="C66" s="4">
        <v>46195.0</v>
      </c>
      <c r="D66" s="4">
        <v>46240.0</v>
      </c>
      <c r="E66" s="3">
        <v>699000.0</v>
      </c>
    </row>
    <row r="67">
      <c r="A67" s="3" t="s">
        <v>226</v>
      </c>
      <c r="B67" s="3" t="s">
        <v>68</v>
      </c>
      <c r="C67" s="4">
        <v>46195.0</v>
      </c>
      <c r="D67" s="4">
        <v>46225.0</v>
      </c>
      <c r="E67" s="3">
        <v>769000.0</v>
      </c>
    </row>
    <row r="68">
      <c r="A68" s="3" t="s">
        <v>227</v>
      </c>
      <c r="B68" s="3" t="s">
        <v>115</v>
      </c>
      <c r="C68" s="4">
        <v>46196.0</v>
      </c>
      <c r="D68" s="4">
        <v>46241.0</v>
      </c>
      <c r="E68" s="3">
        <v>637000.0</v>
      </c>
    </row>
    <row r="69">
      <c r="A69" s="3" t="s">
        <v>229</v>
      </c>
      <c r="B69" s="3" t="s">
        <v>33</v>
      </c>
      <c r="C69" s="4">
        <v>46196.0</v>
      </c>
      <c r="D69" s="4">
        <v>46226.0</v>
      </c>
      <c r="E69" s="3">
        <v>731000.0</v>
      </c>
    </row>
    <row r="70">
      <c r="A70" s="3" t="s">
        <v>231</v>
      </c>
      <c r="B70" s="3" t="s">
        <v>171</v>
      </c>
      <c r="C70" s="4">
        <v>46198.0</v>
      </c>
      <c r="D70" s="4">
        <v>46228.0</v>
      </c>
      <c r="E70" s="3">
        <v>703000.0</v>
      </c>
    </row>
    <row r="71">
      <c r="A71" s="3" t="s">
        <v>233</v>
      </c>
      <c r="B71" s="3" t="s">
        <v>38</v>
      </c>
      <c r="C71" s="4">
        <v>46199.0</v>
      </c>
      <c r="D71" s="4">
        <v>46229.0</v>
      </c>
      <c r="E71" s="3">
        <v>1465000.0</v>
      </c>
    </row>
    <row r="72">
      <c r="A72" s="3" t="s">
        <v>234</v>
      </c>
      <c r="B72" s="3" t="s">
        <v>128</v>
      </c>
      <c r="C72" s="4">
        <v>46208.0</v>
      </c>
      <c r="D72" s="4">
        <v>46253.0</v>
      </c>
      <c r="E72" s="3">
        <v>518000.0</v>
      </c>
    </row>
    <row r="73">
      <c r="A73" s="3" t="s">
        <v>236</v>
      </c>
      <c r="B73" s="3" t="s">
        <v>47</v>
      </c>
      <c r="C73" s="4">
        <v>46208.0</v>
      </c>
      <c r="D73" s="4">
        <v>46238.0</v>
      </c>
      <c r="E73" s="3">
        <v>324000.0</v>
      </c>
    </row>
    <row r="74">
      <c r="A74" s="3" t="s">
        <v>238</v>
      </c>
      <c r="B74" s="3" t="s">
        <v>22</v>
      </c>
      <c r="C74" s="4">
        <v>46209.0</v>
      </c>
      <c r="D74" s="4">
        <v>46254.0</v>
      </c>
      <c r="E74" s="3">
        <v>795000.0</v>
      </c>
    </row>
    <row r="75">
      <c r="A75" s="3" t="s">
        <v>239</v>
      </c>
      <c r="B75" s="3" t="s">
        <v>82</v>
      </c>
      <c r="C75" s="4">
        <v>46209.0</v>
      </c>
      <c r="D75" s="4">
        <v>46239.0</v>
      </c>
      <c r="E75" s="3">
        <v>688000.0</v>
      </c>
    </row>
    <row r="76">
      <c r="A76" s="3" t="s">
        <v>242</v>
      </c>
      <c r="B76" s="3" t="s">
        <v>58</v>
      </c>
      <c r="C76" s="4">
        <v>46209.0</v>
      </c>
      <c r="D76" s="4">
        <v>46239.0</v>
      </c>
      <c r="E76" s="3">
        <v>1173000.0</v>
      </c>
    </row>
    <row r="77">
      <c r="A77" s="3" t="s">
        <v>243</v>
      </c>
      <c r="B77" s="3" t="s">
        <v>31</v>
      </c>
      <c r="C77" s="4">
        <v>46210.0</v>
      </c>
      <c r="D77" s="4">
        <v>46270.0</v>
      </c>
      <c r="E77" s="3">
        <v>908000.0</v>
      </c>
    </row>
    <row r="78">
      <c r="A78" s="3" t="s">
        <v>245</v>
      </c>
      <c r="B78" s="3" t="s">
        <v>147</v>
      </c>
      <c r="C78" s="4">
        <v>46211.0</v>
      </c>
      <c r="D78" s="4">
        <v>46241.0</v>
      </c>
      <c r="E78" s="3">
        <v>1254000.0</v>
      </c>
    </row>
    <row r="79">
      <c r="A79" s="3" t="s">
        <v>246</v>
      </c>
      <c r="B79" s="3" t="s">
        <v>33</v>
      </c>
      <c r="C79" s="4">
        <v>46211.0</v>
      </c>
      <c r="D79" s="4">
        <v>46241.0</v>
      </c>
      <c r="E79" s="3">
        <v>1216000.0</v>
      </c>
    </row>
    <row r="80">
      <c r="A80" s="3" t="s">
        <v>248</v>
      </c>
      <c r="B80" s="3" t="s">
        <v>59</v>
      </c>
      <c r="C80" s="4">
        <v>46212.0</v>
      </c>
      <c r="D80" s="4">
        <v>46242.0</v>
      </c>
      <c r="E80" s="3">
        <v>760000.0</v>
      </c>
    </row>
    <row r="81">
      <c r="A81" s="3" t="s">
        <v>249</v>
      </c>
      <c r="B81" s="3" t="s">
        <v>117</v>
      </c>
      <c r="C81" s="4">
        <v>46212.0</v>
      </c>
      <c r="D81" s="4">
        <v>46242.0</v>
      </c>
      <c r="E81" s="3">
        <v>832000.0</v>
      </c>
    </row>
    <row r="82">
      <c r="A82" s="3" t="s">
        <v>251</v>
      </c>
      <c r="B82" s="3" t="s">
        <v>94</v>
      </c>
      <c r="C82" s="4">
        <v>46213.0</v>
      </c>
      <c r="D82" s="4">
        <v>46273.0</v>
      </c>
      <c r="E82" s="3">
        <v>1635000.0</v>
      </c>
    </row>
    <row r="83">
      <c r="A83" s="3" t="s">
        <v>254</v>
      </c>
      <c r="B83" s="3" t="s">
        <v>76</v>
      </c>
      <c r="C83" s="4">
        <v>46213.0</v>
      </c>
      <c r="D83" s="4">
        <v>46243.0</v>
      </c>
      <c r="E83" s="3">
        <v>1503000.0</v>
      </c>
    </row>
    <row r="84">
      <c r="A84" s="3" t="s">
        <v>255</v>
      </c>
      <c r="B84" s="3" t="s">
        <v>41</v>
      </c>
      <c r="C84" s="4">
        <v>46213.0</v>
      </c>
      <c r="D84" s="4">
        <v>46243.0</v>
      </c>
      <c r="E84" s="3">
        <v>732000.0</v>
      </c>
    </row>
    <row r="85">
      <c r="A85" s="3" t="s">
        <v>257</v>
      </c>
      <c r="B85" s="3" t="s">
        <v>112</v>
      </c>
      <c r="C85" s="4">
        <v>46213.0</v>
      </c>
      <c r="D85" s="4">
        <v>46258.0</v>
      </c>
      <c r="E85" s="3">
        <v>359000.0</v>
      </c>
    </row>
    <row r="86">
      <c r="A86" s="3" t="s">
        <v>258</v>
      </c>
      <c r="B86" s="3" t="s">
        <v>102</v>
      </c>
      <c r="C86" s="4">
        <v>46214.0</v>
      </c>
      <c r="D86" s="4">
        <v>46259.0</v>
      </c>
      <c r="E86" s="3">
        <v>642000.0</v>
      </c>
    </row>
    <row r="87">
      <c r="A87" s="3" t="s">
        <v>260</v>
      </c>
      <c r="B87" s="3" t="s">
        <v>124</v>
      </c>
      <c r="C87" s="4">
        <v>46214.0</v>
      </c>
      <c r="D87" s="4">
        <v>46244.0</v>
      </c>
      <c r="E87" s="3">
        <v>1207000.0</v>
      </c>
    </row>
    <row r="88">
      <c r="A88" s="3" t="s">
        <v>262</v>
      </c>
      <c r="B88" s="3" t="s">
        <v>64</v>
      </c>
      <c r="C88" s="4">
        <v>46216.0</v>
      </c>
      <c r="D88" s="4">
        <v>46276.0</v>
      </c>
      <c r="E88" s="3">
        <v>920000.0</v>
      </c>
    </row>
    <row r="89">
      <c r="A89" s="3" t="s">
        <v>264</v>
      </c>
      <c r="B89" s="3" t="s">
        <v>93</v>
      </c>
      <c r="C89" s="4">
        <v>46216.0</v>
      </c>
      <c r="D89" s="4">
        <v>46261.0</v>
      </c>
      <c r="E89" s="3">
        <v>1208000.0</v>
      </c>
    </row>
    <row r="90">
      <c r="A90" s="3" t="s">
        <v>266</v>
      </c>
      <c r="B90" s="3" t="s">
        <v>54</v>
      </c>
      <c r="C90" s="4">
        <v>46218.0</v>
      </c>
      <c r="D90" s="4">
        <v>46248.0</v>
      </c>
      <c r="E90" s="3">
        <v>904000.0</v>
      </c>
    </row>
    <row r="91">
      <c r="A91" s="3" t="s">
        <v>267</v>
      </c>
      <c r="B91" s="3" t="s">
        <v>40</v>
      </c>
      <c r="C91" s="4">
        <v>46218.0</v>
      </c>
      <c r="D91" s="4">
        <v>46278.0</v>
      </c>
      <c r="E91" s="3">
        <v>1066000.0</v>
      </c>
    </row>
    <row r="92">
      <c r="A92" s="3" t="s">
        <v>269</v>
      </c>
      <c r="B92" s="3" t="s">
        <v>51</v>
      </c>
      <c r="C92" s="4">
        <v>46219.0</v>
      </c>
      <c r="D92" s="4">
        <v>46279.0</v>
      </c>
      <c r="E92" s="3">
        <v>211000.0</v>
      </c>
    </row>
    <row r="93">
      <c r="A93" s="3" t="s">
        <v>271</v>
      </c>
      <c r="B93" s="3" t="s">
        <v>55</v>
      </c>
      <c r="C93" s="4">
        <v>46220.0</v>
      </c>
      <c r="D93" s="4">
        <v>46250.0</v>
      </c>
      <c r="E93" s="3">
        <v>433000.0</v>
      </c>
    </row>
    <row r="94">
      <c r="A94" s="3" t="s">
        <v>272</v>
      </c>
      <c r="B94" s="3" t="s">
        <v>81</v>
      </c>
      <c r="C94" s="4">
        <v>46220.0</v>
      </c>
      <c r="D94" s="4">
        <v>46250.0</v>
      </c>
      <c r="E94" s="3">
        <v>972000.0</v>
      </c>
    </row>
    <row r="95">
      <c r="A95" s="3" t="s">
        <v>271</v>
      </c>
      <c r="B95" s="3" t="s">
        <v>55</v>
      </c>
      <c r="C95" s="4">
        <v>46220.0</v>
      </c>
      <c r="D95" s="4">
        <v>46250.0</v>
      </c>
      <c r="E95" s="3">
        <v>433000.0</v>
      </c>
    </row>
    <row r="96">
      <c r="A96" s="3" t="s">
        <v>275</v>
      </c>
      <c r="B96" s="3" t="s">
        <v>72</v>
      </c>
      <c r="C96" s="4">
        <v>46221.0</v>
      </c>
      <c r="D96" s="4">
        <v>46266.0</v>
      </c>
      <c r="E96" s="3">
        <v>555000.0</v>
      </c>
    </row>
    <row r="97">
      <c r="A97" s="3" t="s">
        <v>277</v>
      </c>
      <c r="B97" s="3" t="s">
        <v>68</v>
      </c>
      <c r="C97" s="4">
        <v>46222.0</v>
      </c>
      <c r="D97" s="4">
        <v>46252.0</v>
      </c>
      <c r="E97" s="3">
        <v>979000.0</v>
      </c>
    </row>
    <row r="98">
      <c r="A98" s="3" t="s">
        <v>278</v>
      </c>
      <c r="B98" s="3" t="s">
        <v>97</v>
      </c>
      <c r="C98" s="4">
        <v>46222.0</v>
      </c>
      <c r="D98" s="4">
        <v>46252.0</v>
      </c>
      <c r="E98" s="3">
        <v>750000.0</v>
      </c>
    </row>
    <row r="99">
      <c r="A99" s="3" t="s">
        <v>280</v>
      </c>
      <c r="B99" s="3" t="s">
        <v>62</v>
      </c>
      <c r="C99" s="4">
        <v>46223.0</v>
      </c>
      <c r="D99" s="4">
        <v>46253.0</v>
      </c>
      <c r="E99" s="3">
        <v>516000.0</v>
      </c>
    </row>
    <row r="100">
      <c r="A100" s="3" t="s">
        <v>282</v>
      </c>
      <c r="B100" s="3" t="s">
        <v>38</v>
      </c>
      <c r="C100" s="4">
        <v>46223.0</v>
      </c>
      <c r="D100" s="4">
        <v>46253.0</v>
      </c>
      <c r="E100" s="5"/>
    </row>
    <row r="101">
      <c r="A101" s="3" t="s">
        <v>285</v>
      </c>
      <c r="B101" s="3" t="s">
        <v>23</v>
      </c>
      <c r="C101" s="4">
        <v>46223.0</v>
      </c>
      <c r="D101" s="4">
        <v>46253.0</v>
      </c>
      <c r="E101" s="3">
        <v>360000.0</v>
      </c>
    </row>
    <row r="102">
      <c r="A102" s="3" t="s">
        <v>287</v>
      </c>
      <c r="B102" s="3" t="s">
        <v>137</v>
      </c>
      <c r="C102" s="4">
        <v>46223.0</v>
      </c>
      <c r="D102" s="4">
        <v>46283.0</v>
      </c>
      <c r="E102" s="3">
        <v>236000.0</v>
      </c>
    </row>
    <row r="103">
      <c r="A103" s="3" t="s">
        <v>288</v>
      </c>
      <c r="B103" s="3" t="s">
        <v>90</v>
      </c>
      <c r="C103" s="4">
        <v>46225.0</v>
      </c>
      <c r="D103" s="4">
        <v>46255.0</v>
      </c>
      <c r="E103" s="3">
        <v>1081000.0</v>
      </c>
    </row>
    <row r="104">
      <c r="A104" s="3" t="s">
        <v>290</v>
      </c>
      <c r="B104" s="3" t="s">
        <v>142</v>
      </c>
      <c r="C104" s="4">
        <v>46226.0</v>
      </c>
      <c r="D104" s="4">
        <v>46256.0</v>
      </c>
      <c r="E104" s="3">
        <v>616000.0</v>
      </c>
    </row>
    <row r="105">
      <c r="A105" s="3" t="s">
        <v>292</v>
      </c>
      <c r="B105" s="3" t="s">
        <v>86</v>
      </c>
      <c r="C105" s="4">
        <v>46226.0</v>
      </c>
      <c r="D105" s="4">
        <v>46256.0</v>
      </c>
      <c r="E105" s="3">
        <v>481000.0</v>
      </c>
    </row>
    <row r="106">
      <c r="A106" s="3" t="s">
        <v>293</v>
      </c>
      <c r="B106" s="3" t="s">
        <v>171</v>
      </c>
      <c r="C106" s="4">
        <v>46226.0</v>
      </c>
      <c r="D106" s="4">
        <v>46256.0</v>
      </c>
      <c r="E106" s="3">
        <v>628000.0</v>
      </c>
    </row>
    <row r="107">
      <c r="A107" s="3" t="s">
        <v>295</v>
      </c>
      <c r="B107" s="3" t="s">
        <v>46</v>
      </c>
      <c r="C107" s="4">
        <v>46227.0</v>
      </c>
      <c r="D107" s="4">
        <v>46287.0</v>
      </c>
      <c r="E107" s="3">
        <v>723000.0</v>
      </c>
    </row>
    <row r="108">
      <c r="A108" s="3" t="s">
        <v>297</v>
      </c>
      <c r="B108" s="3" t="s">
        <v>115</v>
      </c>
      <c r="C108" s="4">
        <v>46227.0</v>
      </c>
      <c r="D108" s="4">
        <v>46272.0</v>
      </c>
      <c r="E108" s="3">
        <v>669000.0</v>
      </c>
    </row>
    <row r="109">
      <c r="A109" s="3" t="s">
        <v>299</v>
      </c>
      <c r="B109" s="3" t="s">
        <v>69</v>
      </c>
      <c r="C109" s="4">
        <v>46227.0</v>
      </c>
      <c r="D109" s="4">
        <v>46272.0</v>
      </c>
      <c r="E109" s="3">
        <v>890000.0</v>
      </c>
    </row>
    <row r="110">
      <c r="A110" s="3" t="s">
        <v>302</v>
      </c>
      <c r="B110" s="3" t="s">
        <v>79</v>
      </c>
      <c r="C110" s="4">
        <v>46229.0</v>
      </c>
      <c r="D110" s="4">
        <v>46274.0</v>
      </c>
      <c r="E110" s="3">
        <v>1501000.0</v>
      </c>
    </row>
    <row r="111">
      <c r="A111" s="3" t="s">
        <v>303</v>
      </c>
      <c r="B111" s="3" t="s">
        <v>65</v>
      </c>
      <c r="C111" s="4">
        <v>46229.0</v>
      </c>
      <c r="D111" s="4">
        <v>46289.0</v>
      </c>
      <c r="E111" s="3">
        <v>655000.0</v>
      </c>
    </row>
    <row r="112">
      <c r="A112" s="3" t="s">
        <v>305</v>
      </c>
      <c r="B112" s="3" t="s">
        <v>121</v>
      </c>
      <c r="C112" s="4">
        <v>46229.0</v>
      </c>
      <c r="D112" s="4">
        <v>46199.0</v>
      </c>
      <c r="E112" s="3">
        <v>948000.0</v>
      </c>
    </row>
    <row r="113">
      <c r="A113" s="3" t="s">
        <v>308</v>
      </c>
      <c r="B113" s="3" t="s">
        <v>55</v>
      </c>
      <c r="C113" s="4">
        <v>46238.0</v>
      </c>
      <c r="D113" s="4">
        <v>46268.0</v>
      </c>
      <c r="E113" s="3">
        <v>373000.0</v>
      </c>
    </row>
    <row r="114">
      <c r="A114" s="3" t="s">
        <v>310</v>
      </c>
      <c r="B114" s="3" t="s">
        <v>112</v>
      </c>
      <c r="C114" s="4">
        <v>46238.0</v>
      </c>
      <c r="D114" s="4">
        <v>46283.0</v>
      </c>
      <c r="E114" s="3">
        <v>371000.0</v>
      </c>
    </row>
    <row r="115">
      <c r="A115" s="3" t="s">
        <v>311</v>
      </c>
      <c r="B115" s="3" t="s">
        <v>51</v>
      </c>
      <c r="C115" s="4">
        <v>46238.0</v>
      </c>
      <c r="D115" s="4">
        <v>46298.0</v>
      </c>
      <c r="E115" s="3">
        <v>231000.0</v>
      </c>
    </row>
    <row r="116">
      <c r="A116" s="3" t="s">
        <v>313</v>
      </c>
      <c r="B116" s="3" t="s">
        <v>65</v>
      </c>
      <c r="C116" s="4">
        <v>46240.0</v>
      </c>
      <c r="D116" s="4">
        <v>46300.0</v>
      </c>
      <c r="E116" s="3">
        <v>1086000.0</v>
      </c>
    </row>
    <row r="117">
      <c r="A117" s="3" t="s">
        <v>314</v>
      </c>
      <c r="B117" s="3" t="s">
        <v>171</v>
      </c>
      <c r="C117" s="4">
        <v>46240.0</v>
      </c>
      <c r="D117" s="4">
        <v>46270.0</v>
      </c>
      <c r="E117" s="3">
        <v>633000.0</v>
      </c>
    </row>
    <row r="118">
      <c r="A118" s="3" t="s">
        <v>316</v>
      </c>
      <c r="B118" s="3" t="s">
        <v>97</v>
      </c>
      <c r="C118" s="4">
        <v>46240.0</v>
      </c>
      <c r="D118" s="4">
        <v>46270.0</v>
      </c>
      <c r="E118" s="3">
        <v>572000.0</v>
      </c>
    </row>
    <row r="119">
      <c r="A119" s="3" t="s">
        <v>318</v>
      </c>
      <c r="B119" s="3" t="s">
        <v>128</v>
      </c>
      <c r="C119" s="4">
        <v>46241.0</v>
      </c>
      <c r="D119" s="4">
        <v>46286.0</v>
      </c>
      <c r="E119" s="3">
        <v>460000.0</v>
      </c>
    </row>
    <row r="120">
      <c r="A120" s="3" t="s">
        <v>319</v>
      </c>
      <c r="B120" s="3" t="s">
        <v>102</v>
      </c>
      <c r="C120" s="4">
        <v>46241.0</v>
      </c>
      <c r="D120" s="4">
        <v>46286.0</v>
      </c>
      <c r="E120" s="3">
        <v>890000.0</v>
      </c>
    </row>
    <row r="121">
      <c r="A121" s="3" t="s">
        <v>321</v>
      </c>
      <c r="B121" s="3" t="s">
        <v>115</v>
      </c>
      <c r="C121" s="4">
        <v>46243.0</v>
      </c>
      <c r="D121" s="4">
        <v>46288.0</v>
      </c>
      <c r="E121" s="3">
        <v>821000.0</v>
      </c>
    </row>
    <row r="122">
      <c r="A122" s="3" t="s">
        <v>323</v>
      </c>
      <c r="B122" s="3" t="s">
        <v>121</v>
      </c>
      <c r="C122" s="4">
        <v>46243.0</v>
      </c>
      <c r="D122" s="4">
        <v>46303.0</v>
      </c>
      <c r="E122" s="3">
        <v>1356000.0</v>
      </c>
    </row>
    <row r="123">
      <c r="A123" s="3" t="s">
        <v>324</v>
      </c>
      <c r="B123" s="3" t="s">
        <v>58</v>
      </c>
      <c r="C123" s="4">
        <v>46243.0</v>
      </c>
      <c r="D123" s="4">
        <v>46273.0</v>
      </c>
      <c r="E123" s="3">
        <v>1534000.0</v>
      </c>
    </row>
    <row r="124">
      <c r="A124" s="3" t="s">
        <v>326</v>
      </c>
      <c r="B124" s="3" t="s">
        <v>76</v>
      </c>
      <c r="C124" s="4">
        <v>46244.0</v>
      </c>
      <c r="D124" s="4">
        <v>46274.0</v>
      </c>
      <c r="E124" s="3">
        <v>-1248000.0</v>
      </c>
    </row>
    <row r="125">
      <c r="A125" s="3" t="s">
        <v>329</v>
      </c>
      <c r="B125" s="3" t="s">
        <v>31</v>
      </c>
      <c r="C125" s="4">
        <v>46244.0</v>
      </c>
      <c r="D125" s="4">
        <v>46304.0</v>
      </c>
      <c r="E125" s="3">
        <v>1312000.0</v>
      </c>
    </row>
    <row r="126">
      <c r="A126" s="3" t="s">
        <v>331</v>
      </c>
      <c r="B126" s="3" t="s">
        <v>72</v>
      </c>
      <c r="C126" s="4">
        <v>46244.0</v>
      </c>
      <c r="D126" s="4">
        <v>46289.0</v>
      </c>
      <c r="E126" s="3">
        <v>469000.0</v>
      </c>
    </row>
    <row r="127">
      <c r="A127" s="3" t="s">
        <v>332</v>
      </c>
      <c r="B127" s="3" t="s">
        <v>147</v>
      </c>
      <c r="C127" s="4">
        <v>46245.0</v>
      </c>
      <c r="D127" s="4">
        <v>46275.0</v>
      </c>
      <c r="E127" s="3">
        <v>1075000.0</v>
      </c>
    </row>
    <row r="128">
      <c r="A128" s="3" t="s">
        <v>334</v>
      </c>
      <c r="B128" s="3" t="s">
        <v>64</v>
      </c>
      <c r="C128" s="4">
        <v>46245.0</v>
      </c>
      <c r="D128" s="4">
        <v>46305.0</v>
      </c>
      <c r="E128" s="3">
        <v>867000.0</v>
      </c>
    </row>
    <row r="129">
      <c r="A129" s="3" t="s">
        <v>335</v>
      </c>
      <c r="B129" s="3" t="s">
        <v>337</v>
      </c>
      <c r="C129" s="4">
        <v>46246.0</v>
      </c>
      <c r="D129" s="4">
        <v>46276.0</v>
      </c>
      <c r="E129" s="3">
        <v>450000.0</v>
      </c>
    </row>
    <row r="130">
      <c r="A130" s="3" t="s">
        <v>339</v>
      </c>
      <c r="B130" s="3" t="s">
        <v>142</v>
      </c>
      <c r="C130" s="4">
        <v>46246.0</v>
      </c>
      <c r="D130" s="4">
        <v>46276.0</v>
      </c>
      <c r="E130" s="3">
        <v>934000.0</v>
      </c>
    </row>
    <row r="131">
      <c r="A131" s="3" t="s">
        <v>341</v>
      </c>
      <c r="B131" s="3" t="s">
        <v>62</v>
      </c>
      <c r="C131" s="4">
        <v>46247.0</v>
      </c>
      <c r="D131" s="4">
        <v>46277.0</v>
      </c>
      <c r="E131" s="3">
        <v>832000.0</v>
      </c>
    </row>
    <row r="132">
      <c r="A132" s="3" t="s">
        <v>342</v>
      </c>
      <c r="B132" s="3" t="s">
        <v>23</v>
      </c>
      <c r="C132" s="4">
        <v>46248.0</v>
      </c>
      <c r="D132" s="4">
        <v>46278.0</v>
      </c>
      <c r="E132" s="3">
        <v>280000.0</v>
      </c>
    </row>
    <row r="133">
      <c r="A133" s="3" t="s">
        <v>344</v>
      </c>
      <c r="B133" s="3" t="s">
        <v>82</v>
      </c>
      <c r="C133" s="4">
        <v>46248.0</v>
      </c>
      <c r="D133" s="4">
        <v>46278.0</v>
      </c>
      <c r="E133" s="3">
        <v>740000.0</v>
      </c>
    </row>
    <row r="134">
      <c r="A134" s="3" t="s">
        <v>345</v>
      </c>
      <c r="B134" s="3" t="s">
        <v>68</v>
      </c>
      <c r="C134" s="4">
        <v>46249.0</v>
      </c>
      <c r="D134" s="4">
        <v>46279.0</v>
      </c>
      <c r="E134" s="3">
        <v>808000.0</v>
      </c>
    </row>
    <row r="135">
      <c r="A135" s="3" t="s">
        <v>347</v>
      </c>
      <c r="B135" s="3" t="s">
        <v>69</v>
      </c>
      <c r="C135" s="4">
        <v>46249.0</v>
      </c>
      <c r="D135" s="4">
        <v>46294.0</v>
      </c>
      <c r="E135" s="3">
        <v>1258000.0</v>
      </c>
    </row>
    <row r="136">
      <c r="A136" s="3" t="s">
        <v>349</v>
      </c>
      <c r="B136" s="3" t="s">
        <v>81</v>
      </c>
      <c r="C136" s="4">
        <v>46250.0</v>
      </c>
      <c r="D136" s="4">
        <v>46280.0</v>
      </c>
      <c r="E136" s="3">
        <v>687000.0</v>
      </c>
    </row>
    <row r="137">
      <c r="A137" s="3" t="s">
        <v>351</v>
      </c>
      <c r="B137" s="3" t="s">
        <v>46</v>
      </c>
      <c r="C137" s="4">
        <v>46251.0</v>
      </c>
      <c r="D137" s="4">
        <v>46311.0</v>
      </c>
      <c r="E137" s="3">
        <v>665000.0</v>
      </c>
    </row>
    <row r="138">
      <c r="A138" s="3" t="s">
        <v>353</v>
      </c>
      <c r="B138" s="3" t="s">
        <v>86</v>
      </c>
      <c r="C138" s="4">
        <v>46253.0</v>
      </c>
      <c r="D138" s="4">
        <v>46283.0</v>
      </c>
      <c r="E138" s="3">
        <v>457000.0</v>
      </c>
    </row>
    <row r="139">
      <c r="A139" s="3" t="s">
        <v>354</v>
      </c>
      <c r="B139" s="3" t="s">
        <v>41</v>
      </c>
      <c r="C139" s="4">
        <v>46255.0</v>
      </c>
      <c r="D139" s="4">
        <v>46285.0</v>
      </c>
      <c r="E139" s="3">
        <v>781000.0</v>
      </c>
    </row>
    <row r="140">
      <c r="A140" s="3" t="s">
        <v>356</v>
      </c>
      <c r="B140" s="3" t="s">
        <v>137</v>
      </c>
      <c r="C140" s="4">
        <v>46255.0</v>
      </c>
      <c r="D140" s="4">
        <v>46315.0</v>
      </c>
      <c r="E140" s="3">
        <v>347000.0</v>
      </c>
    </row>
    <row r="141">
      <c r="A141" s="3" t="s">
        <v>358</v>
      </c>
      <c r="B141" s="3" t="s">
        <v>54</v>
      </c>
      <c r="C141" s="4">
        <v>46256.0</v>
      </c>
      <c r="D141" s="4">
        <v>46286.0</v>
      </c>
      <c r="E141" s="3">
        <v>1002000.0</v>
      </c>
    </row>
    <row r="142">
      <c r="A142" s="3" t="s">
        <v>359</v>
      </c>
      <c r="B142" s="3" t="s">
        <v>22</v>
      </c>
      <c r="C142" s="4">
        <v>46257.0</v>
      </c>
      <c r="D142" s="4">
        <v>46302.0</v>
      </c>
      <c r="E142" s="3">
        <v>1365000.0</v>
      </c>
    </row>
    <row r="143">
      <c r="A143" s="3" t="s">
        <v>362</v>
      </c>
      <c r="B143" s="3" t="s">
        <v>94</v>
      </c>
      <c r="C143" s="4">
        <v>46257.0</v>
      </c>
      <c r="D143" s="4">
        <v>46317.0</v>
      </c>
      <c r="E143" s="3">
        <v>1165000.0</v>
      </c>
    </row>
    <row r="144">
      <c r="A144" s="3" t="s">
        <v>363</v>
      </c>
      <c r="B144" s="3" t="s">
        <v>117</v>
      </c>
      <c r="C144" s="4">
        <v>46257.0</v>
      </c>
      <c r="D144" s="4">
        <v>46287.0</v>
      </c>
      <c r="E144" s="3">
        <v>553000.0</v>
      </c>
    </row>
    <row r="145">
      <c r="A145" s="3" t="s">
        <v>365</v>
      </c>
      <c r="B145" s="3" t="s">
        <v>90</v>
      </c>
      <c r="C145" s="4">
        <v>46259.0</v>
      </c>
      <c r="D145" s="4">
        <v>46289.0</v>
      </c>
      <c r="E145" s="3">
        <v>1099000.0</v>
      </c>
    </row>
    <row r="146">
      <c r="A146" s="3" t="s">
        <v>366</v>
      </c>
      <c r="B146" s="3" t="s">
        <v>59</v>
      </c>
      <c r="C146" s="4">
        <v>46259.0</v>
      </c>
      <c r="D146" s="4">
        <v>46289.0</v>
      </c>
      <c r="E146" s="3">
        <v>960000.0</v>
      </c>
    </row>
    <row r="147">
      <c r="A147" s="3" t="s">
        <v>368</v>
      </c>
      <c r="B147" s="3" t="s">
        <v>41</v>
      </c>
      <c r="C147" s="4">
        <v>46269.0</v>
      </c>
      <c r="D147" s="4">
        <v>46299.0</v>
      </c>
      <c r="E147" s="3">
        <v>577000.0</v>
      </c>
    </row>
    <row r="148">
      <c r="A148" s="3" t="s">
        <v>370</v>
      </c>
      <c r="B148" s="3" t="s">
        <v>64</v>
      </c>
      <c r="C148" s="4">
        <v>46269.0</v>
      </c>
      <c r="D148" s="4">
        <v>46329.0</v>
      </c>
      <c r="E148" s="3">
        <v>1303000.0</v>
      </c>
    </row>
    <row r="149">
      <c r="A149" s="3" t="s">
        <v>372</v>
      </c>
      <c r="B149" s="3" t="s">
        <v>55</v>
      </c>
      <c r="C149" s="4">
        <v>46275.0</v>
      </c>
      <c r="D149" s="4">
        <v>46305.0</v>
      </c>
      <c r="E149" s="3">
        <v>545000.0</v>
      </c>
    </row>
    <row r="150">
      <c r="A150" s="3" t="s">
        <v>374</v>
      </c>
      <c r="B150" s="3" t="s">
        <v>59</v>
      </c>
      <c r="C150" s="4">
        <v>46275.0</v>
      </c>
      <c r="D150" s="4">
        <v>46305.0</v>
      </c>
      <c r="E150" s="3">
        <v>905000.0</v>
      </c>
    </row>
    <row r="151">
      <c r="A151" s="3" t="s">
        <v>375</v>
      </c>
      <c r="B151" s="3" t="s">
        <v>94</v>
      </c>
      <c r="C151" s="4">
        <v>46276.0</v>
      </c>
      <c r="D151" s="4">
        <v>46336.0</v>
      </c>
      <c r="E151" s="3">
        <v>1476000.0</v>
      </c>
    </row>
    <row r="152">
      <c r="A152" s="3" t="s">
        <v>377</v>
      </c>
      <c r="B152" s="3" t="s">
        <v>171</v>
      </c>
      <c r="C152" s="4">
        <v>46277.0</v>
      </c>
      <c r="D152" s="4">
        <v>46307.0</v>
      </c>
      <c r="E152" s="3">
        <v>723000.0</v>
      </c>
    </row>
    <row r="153">
      <c r="A153" s="3" t="s">
        <v>378</v>
      </c>
      <c r="B153" s="3" t="s">
        <v>54</v>
      </c>
      <c r="C153" s="4">
        <v>46277.0</v>
      </c>
      <c r="D153" s="4">
        <v>46307.0</v>
      </c>
      <c r="E153" s="3">
        <v>795000.0</v>
      </c>
    </row>
    <row r="154">
      <c r="A154" s="3" t="s">
        <v>380</v>
      </c>
      <c r="B154" s="3" t="s">
        <v>86</v>
      </c>
      <c r="C154" s="4">
        <v>46278.0</v>
      </c>
      <c r="D154" s="4">
        <v>46308.0</v>
      </c>
      <c r="E154" s="3">
        <v>446000.0</v>
      </c>
    </row>
    <row r="155">
      <c r="A155" s="3" t="s">
        <v>381</v>
      </c>
      <c r="B155" s="3" t="s">
        <v>31</v>
      </c>
      <c r="C155" s="4">
        <v>46280.0</v>
      </c>
      <c r="D155" s="4">
        <v>46340.0</v>
      </c>
      <c r="E155" s="3">
        <v>1232000.0</v>
      </c>
    </row>
    <row r="156">
      <c r="A156" s="3" t="s">
        <v>384</v>
      </c>
      <c r="B156" s="3" t="s">
        <v>69</v>
      </c>
      <c r="C156" s="4">
        <v>46280.0</v>
      </c>
      <c r="D156" s="4">
        <v>46325.0</v>
      </c>
      <c r="E156" s="3">
        <v>1045000.0</v>
      </c>
    </row>
    <row r="157">
      <c r="A157" s="3" t="s">
        <v>386</v>
      </c>
      <c r="B157" s="3" t="s">
        <v>121</v>
      </c>
      <c r="C157" s="4">
        <v>46281.0</v>
      </c>
      <c r="D157" s="4">
        <v>46341.0</v>
      </c>
      <c r="E157" s="3">
        <v>1572000.0</v>
      </c>
    </row>
    <row r="158">
      <c r="A158" s="3" t="s">
        <v>388</v>
      </c>
      <c r="B158" s="3" t="s">
        <v>68</v>
      </c>
      <c r="C158" s="4">
        <v>46281.0</v>
      </c>
      <c r="D158" s="4">
        <v>46311.0</v>
      </c>
      <c r="E158" s="3">
        <v>667000.0</v>
      </c>
    </row>
    <row r="159">
      <c r="A159" s="3" t="s">
        <v>389</v>
      </c>
      <c r="B159" s="3" t="s">
        <v>58</v>
      </c>
      <c r="C159" s="4">
        <v>46284.0</v>
      </c>
      <c r="D159" s="4">
        <v>46314.0</v>
      </c>
      <c r="E159" s="3">
        <v>1568000.0</v>
      </c>
    </row>
    <row r="160">
      <c r="A160" s="3" t="s">
        <v>391</v>
      </c>
      <c r="B160" s="3" t="s">
        <v>81</v>
      </c>
      <c r="C160" s="4">
        <v>46285.0</v>
      </c>
      <c r="D160" s="4">
        <v>46315.0</v>
      </c>
      <c r="E160" s="3">
        <v>856000.0</v>
      </c>
    </row>
    <row r="161">
      <c r="A161" s="3" t="s">
        <v>393</v>
      </c>
      <c r="B161" s="3" t="s">
        <v>46</v>
      </c>
      <c r="C161" s="4">
        <v>46286.0</v>
      </c>
      <c r="D161" s="4">
        <v>46346.0</v>
      </c>
      <c r="E161" s="3">
        <v>715000.0</v>
      </c>
    </row>
    <row r="162">
      <c r="A162" s="3" t="s">
        <v>395</v>
      </c>
      <c r="B162" s="3" t="s">
        <v>82</v>
      </c>
      <c r="C162" s="4">
        <v>46287.0</v>
      </c>
      <c r="D162" s="4">
        <v>46317.0</v>
      </c>
      <c r="E162" s="3">
        <v>675000.0</v>
      </c>
    </row>
    <row r="163">
      <c r="A163" s="3" t="s">
        <v>396</v>
      </c>
      <c r="B163" s="3" t="s">
        <v>117</v>
      </c>
      <c r="C163" s="4">
        <v>46287.0</v>
      </c>
      <c r="D163" s="4">
        <v>46317.0</v>
      </c>
      <c r="E163" s="3">
        <v>536000.0</v>
      </c>
    </row>
    <row r="164">
      <c r="A164" s="3" t="s">
        <v>398</v>
      </c>
      <c r="B164" s="3" t="s">
        <v>23</v>
      </c>
      <c r="C164" s="4">
        <v>46287.0</v>
      </c>
      <c r="D164" s="4">
        <v>46317.0</v>
      </c>
      <c r="E164" s="3">
        <v>262000.0</v>
      </c>
    </row>
    <row r="165">
      <c r="A165" s="3" t="s">
        <v>399</v>
      </c>
      <c r="B165" s="3" t="s">
        <v>51</v>
      </c>
      <c r="C165" s="4">
        <v>46288.0</v>
      </c>
      <c r="D165" s="4">
        <v>46348.0</v>
      </c>
      <c r="E165" s="3">
        <v>303000.0</v>
      </c>
    </row>
    <row r="166">
      <c r="A166" s="3" t="s">
        <v>402</v>
      </c>
      <c r="B166" s="3" t="s">
        <v>128</v>
      </c>
      <c r="C166" s="4">
        <v>46289.0</v>
      </c>
      <c r="D166" s="4">
        <v>46334.0</v>
      </c>
      <c r="E166" s="3">
        <v>494000.0</v>
      </c>
    </row>
    <row r="167">
      <c r="A167" s="3" t="s">
        <v>404</v>
      </c>
      <c r="B167" s="3" t="s">
        <v>137</v>
      </c>
      <c r="C167" s="4">
        <v>46290.0</v>
      </c>
      <c r="D167" s="4">
        <v>46350.0</v>
      </c>
      <c r="E167" s="3">
        <v>213000.0</v>
      </c>
    </row>
    <row r="168">
      <c r="A168" s="3" t="s">
        <v>406</v>
      </c>
      <c r="B168" s="3" t="s">
        <v>115</v>
      </c>
      <c r="C168" s="4">
        <v>46290.0</v>
      </c>
      <c r="D168" s="4">
        <v>46335.0</v>
      </c>
      <c r="E168" s="3">
        <v>575000.0</v>
      </c>
    </row>
    <row r="169">
      <c r="A169" s="3" t="s">
        <v>408</v>
      </c>
      <c r="B169" s="3" t="s">
        <v>147</v>
      </c>
      <c r="C169" s="4">
        <v>46291.0</v>
      </c>
      <c r="D169" s="4">
        <v>46321.0</v>
      </c>
      <c r="E169" s="3">
        <v>845000.0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3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3" t="s">
        <v>17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</v>
      </c>
      <c r="B2" s="3" t="s">
        <v>29</v>
      </c>
      <c r="C2" s="4">
        <v>46187.0</v>
      </c>
      <c r="D2" s="3">
        <v>295000.0</v>
      </c>
      <c r="E2" s="6">
        <f t="array" ref="E2">_xlfn.XLOOKUP(B2,Invoices!$A:$A,Invoices!$C:$C,"NO INVOICE")</f>
        <v>46156</v>
      </c>
      <c r="F2" s="5" t="str">
        <f t="shared" ref="F2:F97" si="1">IF(E2="NO INVOICE","NO INVOICE",IF(C2&lt;E2,"ERROR","OK"))</f>
        <v>OK</v>
      </c>
    </row>
    <row r="3">
      <c r="A3" s="3" t="s">
        <v>105</v>
      </c>
      <c r="B3" s="3" t="s">
        <v>80</v>
      </c>
      <c r="C3" s="4">
        <v>46188.0</v>
      </c>
      <c r="D3" s="3">
        <v>1129000.0</v>
      </c>
      <c r="E3" s="6">
        <f t="array" ref="E3">_xlfn.XLOOKUP(B3,Invoices!$A:$A,Invoices!$C:$C,"NO INVOICE")</f>
        <v>46157</v>
      </c>
      <c r="F3" s="5" t="str">
        <f t="shared" si="1"/>
        <v>OK</v>
      </c>
    </row>
    <row r="4">
      <c r="A4" s="3" t="s">
        <v>132</v>
      </c>
      <c r="B4" s="3" t="s">
        <v>87</v>
      </c>
      <c r="C4" s="4">
        <v>46192.0</v>
      </c>
      <c r="D4" s="3">
        <v>1083000.0</v>
      </c>
      <c r="E4" s="6">
        <f t="array" ref="E4">_xlfn.XLOOKUP(B4,Invoices!$A:$A,Invoices!$C:$C,"NO INVOICE")</f>
        <v>46159</v>
      </c>
      <c r="F4" s="5" t="str">
        <f t="shared" si="1"/>
        <v>OK</v>
      </c>
    </row>
    <row r="5">
      <c r="A5" s="3" t="s">
        <v>156</v>
      </c>
      <c r="B5" s="3" t="s">
        <v>101</v>
      </c>
      <c r="C5" s="4">
        <v>46195.0</v>
      </c>
      <c r="D5" s="3">
        <v>813000.0</v>
      </c>
      <c r="E5" s="6">
        <f t="array" ref="E5">_xlfn.XLOOKUP(B5,Invoices!$A:$A,Invoices!$C:$C,"NO INVOICE")</f>
        <v>46161</v>
      </c>
      <c r="F5" s="5" t="str">
        <f t="shared" si="1"/>
        <v>OK</v>
      </c>
    </row>
    <row r="6">
      <c r="A6" s="3" t="s">
        <v>172</v>
      </c>
      <c r="B6" s="3" t="s">
        <v>75</v>
      </c>
      <c r="C6" s="4">
        <v>46196.0</v>
      </c>
      <c r="D6" s="3">
        <v>360000.0</v>
      </c>
      <c r="E6" s="6">
        <f t="array" ref="E6">_xlfn.XLOOKUP(B6,Invoices!$A:$A,Invoices!$C:$C,"NO INVOICE")</f>
        <v>46156</v>
      </c>
      <c r="F6" s="5" t="str">
        <f t="shared" si="1"/>
        <v>OK</v>
      </c>
    </row>
    <row r="7">
      <c r="A7" s="3" t="s">
        <v>187</v>
      </c>
      <c r="B7" s="3" t="s">
        <v>116</v>
      </c>
      <c r="C7" s="4">
        <v>46198.0</v>
      </c>
      <c r="D7" s="3">
        <v>705000.0</v>
      </c>
      <c r="E7" s="6">
        <f t="array" ref="E7">_xlfn.XLOOKUP(B7,Invoices!$A:$A,Invoices!$C:$C,"NO INVOICE")</f>
        <v>46165</v>
      </c>
      <c r="F7" s="5" t="str">
        <f t="shared" si="1"/>
        <v>OK</v>
      </c>
    </row>
    <row r="8">
      <c r="A8" s="3" t="s">
        <v>199</v>
      </c>
      <c r="B8" s="3" t="s">
        <v>53</v>
      </c>
      <c r="C8" s="4">
        <v>46198.0</v>
      </c>
      <c r="D8" s="3">
        <v>945000.0</v>
      </c>
      <c r="E8" s="6">
        <f t="array" ref="E8">_xlfn.XLOOKUP(B8,Invoices!$A:$A,Invoices!$C:$C,"NO INVOICE")</f>
        <v>46149</v>
      </c>
      <c r="F8" s="5" t="str">
        <f t="shared" si="1"/>
        <v>OK</v>
      </c>
    </row>
    <row r="9">
      <c r="A9" s="3" t="s">
        <v>210</v>
      </c>
      <c r="B9" s="3" t="s">
        <v>20</v>
      </c>
      <c r="C9" s="4">
        <v>46200.0</v>
      </c>
      <c r="D9" s="3">
        <v>580000.0</v>
      </c>
      <c r="E9" s="6">
        <f t="array" ref="E9">_xlfn.XLOOKUP(B9,Invoices!$A:$A,Invoices!$C:$C,"NO INVOICE")</f>
        <v>46146</v>
      </c>
      <c r="F9" s="5" t="str">
        <f t="shared" si="1"/>
        <v>OK</v>
      </c>
    </row>
    <row r="10">
      <c r="A10" s="3" t="s">
        <v>219</v>
      </c>
      <c r="B10" s="3" t="s">
        <v>67</v>
      </c>
      <c r="C10" s="4">
        <v>46200.0</v>
      </c>
      <c r="D10" s="3">
        <v>581000.0</v>
      </c>
      <c r="E10" s="6">
        <f t="array" ref="E10">_xlfn.XLOOKUP(B10,Invoices!$A:$A,Invoices!$C:$C,"NO INVOICE")</f>
        <v>46156</v>
      </c>
      <c r="F10" s="5" t="str">
        <f t="shared" si="1"/>
        <v>OK</v>
      </c>
    </row>
    <row r="11">
      <c r="A11" s="3" t="s">
        <v>230</v>
      </c>
      <c r="B11" s="3" t="s">
        <v>57</v>
      </c>
      <c r="C11" s="4">
        <v>46200.0</v>
      </c>
      <c r="D11" s="3">
        <v>1394000.0</v>
      </c>
      <c r="E11" s="6">
        <f t="array" ref="E11">_xlfn.XLOOKUP(B11,Invoices!$A:$A,Invoices!$C:$C,"NO INVOICE")</f>
        <v>46149</v>
      </c>
      <c r="F11" s="5" t="str">
        <f t="shared" si="1"/>
        <v>OK</v>
      </c>
    </row>
    <row r="12">
      <c r="A12" s="3" t="s">
        <v>241</v>
      </c>
      <c r="B12" s="3" t="s">
        <v>30</v>
      </c>
      <c r="C12" s="4">
        <v>46201.0</v>
      </c>
      <c r="D12" s="3">
        <v>1234000.0</v>
      </c>
      <c r="E12" s="6">
        <f t="array" ref="E12">_xlfn.XLOOKUP(B12,Invoices!$A:$A,Invoices!$C:$C,"NO INVOICE")</f>
        <v>46146</v>
      </c>
      <c r="F12" s="5" t="str">
        <f t="shared" si="1"/>
        <v>OK</v>
      </c>
    </row>
    <row r="13">
      <c r="A13" s="3" t="s">
        <v>252</v>
      </c>
      <c r="B13" s="3" t="s">
        <v>71</v>
      </c>
      <c r="C13" s="4">
        <v>46206.0</v>
      </c>
      <c r="D13" s="3">
        <v>263000.0</v>
      </c>
      <c r="E13" s="6">
        <f t="array" ref="E13">_xlfn.XLOOKUP(B13,Invoices!$A:$A,Invoices!$C:$C,"NO INVOICE")</f>
        <v>46156</v>
      </c>
      <c r="F13" s="5" t="str">
        <f t="shared" si="1"/>
        <v>OK</v>
      </c>
    </row>
    <row r="14">
      <c r="A14" s="3" t="s">
        <v>263</v>
      </c>
      <c r="B14" s="3" t="s">
        <v>141</v>
      </c>
      <c r="C14" s="4">
        <v>46207.0</v>
      </c>
      <c r="D14" s="3">
        <v>604000.0</v>
      </c>
      <c r="E14" s="6">
        <f t="array" ref="E14">_xlfn.XLOOKUP(B14,Invoices!$A:$A,Invoices!$C:$C,"NO INVOICE")</f>
        <v>46178</v>
      </c>
      <c r="F14" s="5" t="str">
        <f t="shared" si="1"/>
        <v>OK</v>
      </c>
    </row>
    <row r="15">
      <c r="A15" s="3" t="s">
        <v>274</v>
      </c>
      <c r="B15" s="3" t="s">
        <v>153</v>
      </c>
      <c r="C15" s="4">
        <v>46209.0</v>
      </c>
      <c r="D15" s="3">
        <v>1219000.0</v>
      </c>
      <c r="E15" s="6">
        <f t="array" ref="E15">_xlfn.XLOOKUP(B15,Invoices!$A:$A,Invoices!$C:$C,"NO INVOICE")</f>
        <v>46181</v>
      </c>
      <c r="F15" s="5" t="str">
        <f t="shared" si="1"/>
        <v>OK</v>
      </c>
    </row>
    <row r="16">
      <c r="A16" s="3" t="s">
        <v>284</v>
      </c>
      <c r="B16" s="3" t="s">
        <v>113</v>
      </c>
      <c r="C16" s="4">
        <v>46210.0</v>
      </c>
      <c r="D16" s="3">
        <v>572000.0</v>
      </c>
      <c r="E16" s="6">
        <f t="array" ref="E16">_xlfn.XLOOKUP(B16,Invoices!$A:$A,Invoices!$C:$C,"NO INVOICE")</f>
        <v>46164</v>
      </c>
      <c r="F16" s="5" t="str">
        <f t="shared" si="1"/>
        <v>OK</v>
      </c>
    </row>
    <row r="17">
      <c r="A17" s="3" t="s">
        <v>296</v>
      </c>
      <c r="B17" s="3" t="s">
        <v>177</v>
      </c>
      <c r="C17" s="4">
        <v>46210.0</v>
      </c>
      <c r="D17" s="3">
        <v>239000.0</v>
      </c>
      <c r="E17" s="6">
        <f t="array" ref="E17">_xlfn.XLOOKUP(B17,Invoices!$A:$A,Invoices!$C:$C,"NO INVOICE")</f>
        <v>46184</v>
      </c>
      <c r="F17" s="5" t="str">
        <f t="shared" si="1"/>
        <v>OK</v>
      </c>
    </row>
    <row r="18">
      <c r="A18" s="3" t="s">
        <v>307</v>
      </c>
      <c r="B18" s="3" t="s">
        <v>78</v>
      </c>
      <c r="C18" s="4">
        <v>46211.0</v>
      </c>
      <c r="D18" s="3">
        <v>1147000.0</v>
      </c>
      <c r="E18" s="6">
        <f t="array" ref="E18">_xlfn.XLOOKUP(B18,Invoices!$A:$A,Invoices!$C:$C,"NO INVOICE")</f>
        <v>46157</v>
      </c>
      <c r="F18" s="5" t="str">
        <f t="shared" si="1"/>
        <v>OK</v>
      </c>
    </row>
    <row r="19">
      <c r="A19" s="3" t="s">
        <v>317</v>
      </c>
      <c r="B19" s="3" t="s">
        <v>37</v>
      </c>
      <c r="C19" s="4">
        <v>46211.0</v>
      </c>
      <c r="D19" s="3">
        <v>1229000.0</v>
      </c>
      <c r="E19" s="6">
        <f t="array" ref="E19">_xlfn.XLOOKUP(B19,Invoices!$A:$A,Invoices!$C:$C,"NO INVOICE")</f>
        <v>46146</v>
      </c>
      <c r="F19" s="5" t="str">
        <f t="shared" si="1"/>
        <v>OK</v>
      </c>
    </row>
    <row r="20">
      <c r="A20" s="3" t="s">
        <v>327</v>
      </c>
      <c r="B20" s="3" t="s">
        <v>61</v>
      </c>
      <c r="C20" s="4">
        <v>46213.0</v>
      </c>
      <c r="D20" s="3">
        <v>783000.0</v>
      </c>
      <c r="E20" s="6">
        <f t="array" ref="E20">_xlfn.XLOOKUP(B20,Invoices!$A:$A,Invoices!$C:$C,"NO INVOICE")</f>
        <v>46150</v>
      </c>
      <c r="F20" s="5" t="str">
        <f t="shared" si="1"/>
        <v>OK</v>
      </c>
    </row>
    <row r="21">
      <c r="A21" s="3" t="s">
        <v>338</v>
      </c>
      <c r="B21" s="3" t="s">
        <v>127</v>
      </c>
      <c r="C21" s="4">
        <v>46216.0</v>
      </c>
      <c r="D21" s="3">
        <v>320000.0</v>
      </c>
      <c r="E21" s="6">
        <f t="array" ref="E21">_xlfn.XLOOKUP(B21,Invoices!$A:$A,Invoices!$C:$C,"NO INVOICE")</f>
        <v>46167</v>
      </c>
      <c r="F21" s="5" t="str">
        <f t="shared" si="1"/>
        <v>OK</v>
      </c>
    </row>
    <row r="22">
      <c r="A22" s="3" t="s">
        <v>350</v>
      </c>
      <c r="B22" s="3" t="s">
        <v>158</v>
      </c>
      <c r="C22" s="4">
        <v>46221.0</v>
      </c>
      <c r="D22" s="3">
        <v>643000.0</v>
      </c>
      <c r="E22" s="6">
        <f t="array" ref="E22">_xlfn.XLOOKUP(B22,Invoices!$A:$A,Invoices!$C:$C,"NO INVOICE")</f>
        <v>46183</v>
      </c>
      <c r="F22" s="5" t="str">
        <f t="shared" si="1"/>
        <v>OK</v>
      </c>
    </row>
    <row r="23">
      <c r="A23" s="3" t="s">
        <v>360</v>
      </c>
      <c r="B23" s="3" t="s">
        <v>63</v>
      </c>
      <c r="C23" s="4">
        <v>46223.0</v>
      </c>
      <c r="D23" s="3">
        <v>916000.0</v>
      </c>
      <c r="E23" s="6">
        <f t="array" ref="E23">_xlfn.XLOOKUP(B23,Invoices!$A:$A,Invoices!$C:$C,"NO INVOICE")</f>
        <v>46151</v>
      </c>
      <c r="F23" s="5" t="str">
        <f t="shared" si="1"/>
        <v>OK</v>
      </c>
    </row>
    <row r="24">
      <c r="A24" s="3" t="s">
        <v>371</v>
      </c>
      <c r="B24" s="3" t="s">
        <v>129</v>
      </c>
      <c r="C24" s="4">
        <v>46223.0</v>
      </c>
      <c r="D24" s="3">
        <v>304000.0</v>
      </c>
      <c r="E24" s="6">
        <f t="array" ref="E24">_xlfn.XLOOKUP(B24,Invoices!$A:$A,Invoices!$C:$C,"NO INVOICE")</f>
        <v>46167</v>
      </c>
      <c r="F24" s="5" t="str">
        <f t="shared" si="1"/>
        <v>OK</v>
      </c>
    </row>
    <row r="25">
      <c r="A25" s="3" t="s">
        <v>383</v>
      </c>
      <c r="B25" s="3" t="s">
        <v>212</v>
      </c>
      <c r="C25" s="4">
        <v>46225.0</v>
      </c>
      <c r="D25" s="3">
        <v>312000.0</v>
      </c>
      <c r="E25" s="6">
        <f t="array" ref="E25">_xlfn.XLOOKUP(B25,Invoices!$A:$A,Invoices!$C:$C,"NO INVOICE")</f>
        <v>46192</v>
      </c>
      <c r="F25" s="5" t="str">
        <f t="shared" si="1"/>
        <v>OK</v>
      </c>
    </row>
    <row r="26">
      <c r="A26" s="3" t="s">
        <v>392</v>
      </c>
      <c r="B26" s="3" t="s">
        <v>120</v>
      </c>
      <c r="C26" s="4">
        <v>46227.0</v>
      </c>
      <c r="D26" s="3">
        <v>1442000.0</v>
      </c>
      <c r="E26" s="6">
        <f t="array" ref="E26">_xlfn.XLOOKUP(B26,Invoices!$A:$A,Invoices!$C:$C,"NO INVOICE")</f>
        <v>46166</v>
      </c>
      <c r="F26" s="5" t="str">
        <f t="shared" si="1"/>
        <v>OK</v>
      </c>
    </row>
    <row r="27">
      <c r="A27" s="3" t="s">
        <v>403</v>
      </c>
      <c r="B27" s="3" t="s">
        <v>167</v>
      </c>
      <c r="C27" s="4">
        <v>46227.0</v>
      </c>
      <c r="D27" s="3">
        <v>1123000.0</v>
      </c>
      <c r="E27" s="6">
        <f t="array" ref="E27">_xlfn.XLOOKUP(B27,Invoices!$A:$A,Invoices!$C:$C,"NO INVOICE")</f>
        <v>46184</v>
      </c>
      <c r="F27" s="5" t="str">
        <f t="shared" si="1"/>
        <v>OK</v>
      </c>
    </row>
    <row r="28">
      <c r="A28" s="3" t="s">
        <v>411</v>
      </c>
      <c r="B28" s="3" t="s">
        <v>229</v>
      </c>
      <c r="C28" s="4">
        <v>46228.0</v>
      </c>
      <c r="D28" s="3">
        <v>731000.0</v>
      </c>
      <c r="E28" s="6">
        <f t="array" ref="E28">_xlfn.XLOOKUP(B28,Invoices!$A:$A,Invoices!$C:$C,"NO INVOICE")</f>
        <v>46196</v>
      </c>
      <c r="F28" s="5" t="str">
        <f t="shared" si="1"/>
        <v>OK</v>
      </c>
    </row>
    <row r="29">
      <c r="A29" s="3" t="s">
        <v>416</v>
      </c>
      <c r="B29" s="3" t="s">
        <v>205</v>
      </c>
      <c r="C29" s="4">
        <v>46228.0</v>
      </c>
      <c r="D29" s="3">
        <v>610000.0</v>
      </c>
      <c r="E29" s="6">
        <f t="array" ref="E29">_xlfn.XLOOKUP(B29,Invoices!$A:$A,Invoices!$C:$C,"NO INVOICE")</f>
        <v>46189</v>
      </c>
      <c r="F29" s="5" t="str">
        <f t="shared" si="1"/>
        <v>OK</v>
      </c>
    </row>
    <row r="30">
      <c r="A30" s="3" t="s">
        <v>421</v>
      </c>
      <c r="B30" s="3" t="s">
        <v>231</v>
      </c>
      <c r="C30" s="4">
        <v>46229.0</v>
      </c>
      <c r="D30" s="3">
        <v>320000.0</v>
      </c>
      <c r="E30" s="6">
        <f t="array" ref="E30">_xlfn.XLOOKUP(B30,Invoices!$A:$A,Invoices!$C:$C,"NO INVOICE")</f>
        <v>46198</v>
      </c>
      <c r="F30" s="5" t="str">
        <f t="shared" si="1"/>
        <v>OK</v>
      </c>
    </row>
    <row r="31">
      <c r="A31" s="3" t="s">
        <v>426</v>
      </c>
      <c r="B31" s="3" t="s">
        <v>145</v>
      </c>
      <c r="C31" s="4">
        <v>46230.0</v>
      </c>
      <c r="D31" s="3">
        <v>953000.0</v>
      </c>
      <c r="E31" s="6">
        <f t="array" ref="E31">_xlfn.XLOOKUP(B31,Invoices!$A:$A,Invoices!$C:$C,"NO INVOICE")</f>
        <v>46178</v>
      </c>
      <c r="F31" s="5" t="str">
        <f t="shared" si="1"/>
        <v>OK</v>
      </c>
    </row>
    <row r="32">
      <c r="A32" s="3" t="s">
        <v>430</v>
      </c>
      <c r="B32" s="3" t="s">
        <v>174</v>
      </c>
      <c r="C32" s="4">
        <v>46172.0</v>
      </c>
      <c r="D32" s="3">
        <v>1490000.0</v>
      </c>
      <c r="E32" s="6">
        <f t="array" ref="E32">_xlfn.XLOOKUP(B32,Invoices!$A:$A,Invoices!$C:$C,"NO INVOICE")</f>
        <v>46184</v>
      </c>
      <c r="F32" s="5" t="str">
        <f t="shared" si="1"/>
        <v>ERROR</v>
      </c>
    </row>
    <row r="33">
      <c r="A33" s="3" t="s">
        <v>435</v>
      </c>
      <c r="B33" s="3" t="s">
        <v>200</v>
      </c>
      <c r="C33" s="4">
        <v>46233.0</v>
      </c>
      <c r="D33" s="3">
        <v>896000.0</v>
      </c>
      <c r="E33" s="6">
        <f t="array" ref="E33">_xlfn.XLOOKUP(B33,Invoices!$A:$A,Invoices!$C:$C,"NO INVOICE")</f>
        <v>46187</v>
      </c>
      <c r="F33" s="5" t="str">
        <f t="shared" si="1"/>
        <v>OK</v>
      </c>
    </row>
    <row r="34">
      <c r="A34" s="3" t="s">
        <v>440</v>
      </c>
      <c r="B34" s="3" t="s">
        <v>211</v>
      </c>
      <c r="C34" s="4">
        <v>46233.0</v>
      </c>
      <c r="D34" s="3">
        <v>266000.0</v>
      </c>
      <c r="E34" s="6">
        <f t="array" ref="E34">_xlfn.XLOOKUP(B34,Invoices!$A:$A,Invoices!$C:$C,"NO INVOICE")</f>
        <v>46191</v>
      </c>
      <c r="F34" s="5" t="str">
        <f t="shared" si="1"/>
        <v>OK</v>
      </c>
    </row>
    <row r="35">
      <c r="A35" s="3" t="s">
        <v>442</v>
      </c>
      <c r="B35" s="3" t="s">
        <v>178</v>
      </c>
      <c r="C35" s="4">
        <v>46234.0</v>
      </c>
      <c r="D35" s="3">
        <v>828000.0</v>
      </c>
      <c r="E35" s="6">
        <f t="array" ref="E35">_xlfn.XLOOKUP(B35,Invoices!$A:$A,Invoices!$C:$C,"NO INVOICE")</f>
        <v>46185</v>
      </c>
      <c r="F35" s="5" t="str">
        <f t="shared" si="1"/>
        <v>OK</v>
      </c>
    </row>
    <row r="36">
      <c r="A36" s="3" t="s">
        <v>443</v>
      </c>
      <c r="B36" s="3" t="s">
        <v>216</v>
      </c>
      <c r="C36" s="4">
        <v>46234.0</v>
      </c>
      <c r="D36" s="3">
        <v>1091000.0</v>
      </c>
      <c r="E36" s="6">
        <f t="array" ref="E36">_xlfn.XLOOKUP(B36,Invoices!$A:$A,Invoices!$C:$C,"NO INVOICE")</f>
        <v>46192</v>
      </c>
      <c r="F36" s="5" t="str">
        <f t="shared" si="1"/>
        <v>OK</v>
      </c>
    </row>
    <row r="37">
      <c r="A37" s="3" t="s">
        <v>444</v>
      </c>
      <c r="B37" s="3" t="s">
        <v>226</v>
      </c>
      <c r="C37" s="4">
        <v>46234.0</v>
      </c>
      <c r="D37" s="3">
        <v>769000.0</v>
      </c>
      <c r="E37" s="6">
        <f t="array" ref="E37">_xlfn.XLOOKUP(B37,Invoices!$A:$A,Invoices!$C:$C,"NO INVOICE")</f>
        <v>46195</v>
      </c>
      <c r="F37" s="5" t="str">
        <f t="shared" si="1"/>
        <v>OK</v>
      </c>
    </row>
    <row r="38">
      <c r="A38" s="3" t="s">
        <v>445</v>
      </c>
      <c r="B38" s="3" t="s">
        <v>169</v>
      </c>
      <c r="C38" s="4">
        <v>46235.0</v>
      </c>
      <c r="D38" s="3">
        <v>289000.0</v>
      </c>
      <c r="E38" s="6">
        <f t="array" ref="E38">_xlfn.XLOOKUP(B38,Invoices!$A:$A,Invoices!$C:$C,"NO INVOICE")</f>
        <v>46184</v>
      </c>
      <c r="F38" s="5" t="str">
        <f t="shared" si="1"/>
        <v>OK</v>
      </c>
    </row>
    <row r="39">
      <c r="A39" s="3" t="s">
        <v>446</v>
      </c>
      <c r="B39" s="3" t="s">
        <v>236</v>
      </c>
      <c r="C39" s="4">
        <v>46236.0</v>
      </c>
      <c r="D39" s="3">
        <v>324000.0</v>
      </c>
      <c r="E39" s="6">
        <f t="array" ref="E39">_xlfn.XLOOKUP(B39,Invoices!$A:$A,Invoices!$C:$C,"NO INVOICE")</f>
        <v>46208</v>
      </c>
      <c r="F39" s="5" t="str">
        <f t="shared" si="1"/>
        <v>OK</v>
      </c>
    </row>
    <row r="40">
      <c r="A40" s="3" t="s">
        <v>447</v>
      </c>
      <c r="B40" s="3" t="s">
        <v>136</v>
      </c>
      <c r="C40" s="4">
        <v>46237.0</v>
      </c>
      <c r="D40" s="3">
        <v>757000.0</v>
      </c>
      <c r="E40" s="6">
        <f t="array" ref="E40">_xlfn.XLOOKUP(B40,Invoices!$A:$A,Invoices!$C:$C,"NO INVOICE")</f>
        <v>46177</v>
      </c>
      <c r="F40" s="5" t="str">
        <f t="shared" si="1"/>
        <v>OK</v>
      </c>
    </row>
    <row r="41">
      <c r="A41" s="3" t="s">
        <v>448</v>
      </c>
      <c r="B41" s="3" t="s">
        <v>208</v>
      </c>
      <c r="C41" s="4">
        <v>46240.0</v>
      </c>
      <c r="D41" s="3">
        <v>384000.0</v>
      </c>
      <c r="E41" s="6">
        <f t="array" ref="E41">_xlfn.XLOOKUP(B41,Invoices!$A:$A,Invoices!$C:$C,"NO INVOICE")</f>
        <v>46189</v>
      </c>
      <c r="F41" s="5" t="str">
        <f t="shared" si="1"/>
        <v>OK</v>
      </c>
    </row>
    <row r="42">
      <c r="A42" s="3" t="s">
        <v>449</v>
      </c>
      <c r="B42" s="3" t="s">
        <v>249</v>
      </c>
      <c r="C42" s="4">
        <v>46245.0</v>
      </c>
      <c r="D42" s="3">
        <v>832000.0</v>
      </c>
      <c r="E42" s="6">
        <f t="array" ref="E42">_xlfn.XLOOKUP(B42,Invoices!$A:$A,Invoices!$C:$C,"NO INVOICE")</f>
        <v>46212</v>
      </c>
      <c r="F42" s="5" t="str">
        <f t="shared" si="1"/>
        <v>OK</v>
      </c>
    </row>
    <row r="43">
      <c r="A43" s="3" t="s">
        <v>450</v>
      </c>
      <c r="B43" s="3" t="s">
        <v>133</v>
      </c>
      <c r="C43" s="4">
        <v>46245.0</v>
      </c>
      <c r="D43" s="3">
        <v>944000.0</v>
      </c>
      <c r="E43" s="6">
        <f t="array" ref="E43">_xlfn.XLOOKUP(B43,Invoices!$A:$A,Invoices!$C:$C,"NO INVOICE")</f>
        <v>46167</v>
      </c>
      <c r="F43" s="5" t="str">
        <f t="shared" si="1"/>
        <v>OK</v>
      </c>
    </row>
    <row r="44">
      <c r="A44" s="3" t="s">
        <v>451</v>
      </c>
      <c r="B44" s="3" t="s">
        <v>290</v>
      </c>
      <c r="C44" s="4">
        <v>46247.0</v>
      </c>
      <c r="D44" s="3">
        <v>291000.0</v>
      </c>
      <c r="E44" s="6">
        <f t="array" ref="E44">_xlfn.XLOOKUP(B44,Invoices!$A:$A,Invoices!$C:$C,"NO INVOICE")</f>
        <v>46226</v>
      </c>
      <c r="F44" s="5" t="str">
        <f t="shared" si="1"/>
        <v>OK</v>
      </c>
    </row>
    <row r="45">
      <c r="A45" s="3" t="s">
        <v>452</v>
      </c>
      <c r="B45" s="3" t="s">
        <v>195</v>
      </c>
      <c r="C45" s="4">
        <v>46247.0</v>
      </c>
      <c r="D45" s="3">
        <v>491000.0</v>
      </c>
      <c r="E45" s="6">
        <f t="array" ref="E45">_xlfn.XLOOKUP(B45,Invoices!$A:$A,Invoices!$C:$C,"NO INVOICE")</f>
        <v>46187</v>
      </c>
      <c r="F45" s="5" t="str">
        <f t="shared" si="1"/>
        <v>OK</v>
      </c>
    </row>
    <row r="46">
      <c r="A46" s="3" t="s">
        <v>453</v>
      </c>
      <c r="B46" s="3" t="s">
        <v>45</v>
      </c>
      <c r="C46" s="4">
        <v>46248.0</v>
      </c>
      <c r="D46" s="3">
        <v>739000.0</v>
      </c>
      <c r="E46" s="6">
        <f t="array" ref="E46">_xlfn.XLOOKUP(B46,Invoices!$A:$A,Invoices!$C:$C,"NO INVOICE")</f>
        <v>46148</v>
      </c>
      <c r="F46" s="5" t="str">
        <f t="shared" si="1"/>
        <v>OK</v>
      </c>
    </row>
    <row r="47">
      <c r="A47" s="3" t="s">
        <v>455</v>
      </c>
      <c r="B47" s="3" t="s">
        <v>227</v>
      </c>
      <c r="C47" s="4">
        <v>46250.0</v>
      </c>
      <c r="D47" s="3">
        <v>637000.0</v>
      </c>
      <c r="E47" s="6">
        <f t="array" ref="E47">_xlfn.XLOOKUP(B47,Invoices!$A:$A,Invoices!$C:$C,"NO INVOICE")</f>
        <v>46196</v>
      </c>
      <c r="F47" s="5" t="str">
        <f t="shared" si="1"/>
        <v>OK</v>
      </c>
    </row>
    <row r="48">
      <c r="A48" s="3" t="s">
        <v>458</v>
      </c>
      <c r="B48" s="3" t="s">
        <v>154</v>
      </c>
      <c r="C48" s="4">
        <v>46250.0</v>
      </c>
      <c r="D48" s="3">
        <v>1300000.0</v>
      </c>
      <c r="E48" s="6">
        <f t="array" ref="E48">_xlfn.XLOOKUP(B48,Invoices!$A:$A,Invoices!$C:$C,"NO INVOICE")</f>
        <v>46183</v>
      </c>
      <c r="F48" s="5" t="str">
        <f t="shared" si="1"/>
        <v>OK</v>
      </c>
    </row>
    <row r="49">
      <c r="A49" s="3" t="s">
        <v>460</v>
      </c>
      <c r="B49" s="3" t="s">
        <v>203</v>
      </c>
      <c r="C49" s="4">
        <v>46250.0</v>
      </c>
      <c r="D49" s="3">
        <v>1650000.0</v>
      </c>
      <c r="E49" s="6">
        <f t="array" ref="E49">_xlfn.XLOOKUP(B49,Invoices!$A:$A,Invoices!$C:$C,"NO INVOICE")</f>
        <v>46187</v>
      </c>
      <c r="F49" s="5" t="str">
        <f t="shared" si="1"/>
        <v>OK</v>
      </c>
    </row>
    <row r="50">
      <c r="A50" s="3" t="s">
        <v>461</v>
      </c>
      <c r="B50" s="3" t="s">
        <v>246</v>
      </c>
      <c r="C50" s="4">
        <v>46251.0</v>
      </c>
      <c r="D50" s="3">
        <v>1216000.0</v>
      </c>
      <c r="E50" s="6">
        <f t="array" ref="E50">_xlfn.XLOOKUP(B50,Invoices!$A:$A,Invoices!$C:$C,"NO INVOICE")</f>
        <v>46211</v>
      </c>
      <c r="F50" s="5" t="str">
        <f t="shared" si="1"/>
        <v>OK</v>
      </c>
    </row>
    <row r="51">
      <c r="A51" s="3" t="s">
        <v>462</v>
      </c>
      <c r="B51" s="3" t="s">
        <v>293</v>
      </c>
      <c r="C51" s="4">
        <v>46253.0</v>
      </c>
      <c r="D51" s="3">
        <v>628000.0</v>
      </c>
      <c r="E51" s="6">
        <f t="array" ref="E51">_xlfn.XLOOKUP(B51,Invoices!$A:$A,Invoices!$C:$C,"NO INVOICE")</f>
        <v>46226</v>
      </c>
      <c r="F51" s="5" t="str">
        <f t="shared" si="1"/>
        <v>OK</v>
      </c>
    </row>
    <row r="52">
      <c r="A52" s="3" t="s">
        <v>463</v>
      </c>
      <c r="B52" s="3" t="s">
        <v>106</v>
      </c>
      <c r="C52" s="4">
        <v>46253.0</v>
      </c>
      <c r="D52" s="3">
        <v>635000.0</v>
      </c>
      <c r="E52" s="6">
        <f t="array" ref="E52">_xlfn.XLOOKUP(B52,Invoices!$A:$A,Invoices!$C:$C,"NO INVOICE")</f>
        <v>46162</v>
      </c>
      <c r="F52" s="5" t="str">
        <f t="shared" si="1"/>
        <v>OK</v>
      </c>
    </row>
    <row r="53">
      <c r="A53" s="3" t="s">
        <v>464</v>
      </c>
      <c r="B53" s="3" t="s">
        <v>278</v>
      </c>
      <c r="C53" s="4">
        <v>46254.0</v>
      </c>
      <c r="D53" s="3">
        <v>750000.0</v>
      </c>
      <c r="E53" s="6">
        <f t="array" ref="E53">_xlfn.XLOOKUP(B53,Invoices!$A:$A,Invoices!$C:$C,"NO INVOICE")</f>
        <v>46222</v>
      </c>
      <c r="F53" s="5" t="str">
        <f t="shared" si="1"/>
        <v>OK</v>
      </c>
    </row>
    <row r="54">
      <c r="A54" s="3" t="s">
        <v>465</v>
      </c>
      <c r="B54" s="3" t="s">
        <v>224</v>
      </c>
      <c r="C54" s="4">
        <v>46255.0</v>
      </c>
      <c r="D54" s="3">
        <v>699000.0</v>
      </c>
      <c r="E54" s="6">
        <f t="array" ref="E54">_xlfn.XLOOKUP(B54,Invoices!$A:$A,Invoices!$C:$C,"NO INVOICE")</f>
        <v>46195</v>
      </c>
      <c r="F54" s="5" t="str">
        <f t="shared" si="1"/>
        <v>OK</v>
      </c>
    </row>
    <row r="55">
      <c r="A55" s="3" t="s">
        <v>466</v>
      </c>
      <c r="B55" s="3" t="s">
        <v>163</v>
      </c>
      <c r="C55" s="4">
        <v>46255.0</v>
      </c>
      <c r="D55" s="3">
        <v>780000.0</v>
      </c>
      <c r="E55" s="6">
        <f t="array" ref="E55">_xlfn.XLOOKUP(B55,Invoices!$A:$A,Invoices!$C:$C,"NO INVOICE")</f>
        <v>46183</v>
      </c>
      <c r="F55" s="5" t="str">
        <f t="shared" si="1"/>
        <v>OK</v>
      </c>
    </row>
    <row r="56">
      <c r="A56" s="3" t="s">
        <v>467</v>
      </c>
      <c r="B56" s="3" t="s">
        <v>238</v>
      </c>
      <c r="C56" s="4">
        <v>46256.0</v>
      </c>
      <c r="D56" s="3">
        <v>795000.0</v>
      </c>
      <c r="E56" s="6">
        <f t="array" ref="E56">_xlfn.XLOOKUP(B56,Invoices!$A:$A,Invoices!$C:$C,"NO INVOICE")</f>
        <v>46209</v>
      </c>
      <c r="F56" s="5" t="str">
        <f t="shared" si="1"/>
        <v>OK</v>
      </c>
    </row>
    <row r="57">
      <c r="A57" s="3" t="s">
        <v>468</v>
      </c>
      <c r="B57" s="3" t="s">
        <v>288</v>
      </c>
      <c r="C57" s="4">
        <v>46259.0</v>
      </c>
      <c r="D57" s="3">
        <v>1081000.0</v>
      </c>
      <c r="E57" s="6">
        <f t="array" ref="E57">_xlfn.XLOOKUP(B57,Invoices!$A:$A,Invoices!$C:$C,"NO INVOICE")</f>
        <v>46225</v>
      </c>
      <c r="F57" s="5" t="str">
        <f t="shared" si="1"/>
        <v>OK</v>
      </c>
    </row>
    <row r="58">
      <c r="A58" s="3" t="s">
        <v>469</v>
      </c>
      <c r="B58" s="3" t="s">
        <v>272</v>
      </c>
      <c r="C58" s="4">
        <v>46261.0</v>
      </c>
      <c r="D58" s="3">
        <v>972000.0</v>
      </c>
      <c r="E58" s="6">
        <f t="array" ref="E58">_xlfn.XLOOKUP(B58,Invoices!$A:$A,Invoices!$C:$C,"NO INVOICE")</f>
        <v>46220</v>
      </c>
      <c r="F58" s="5" t="str">
        <f t="shared" si="1"/>
        <v>OK</v>
      </c>
    </row>
    <row r="59">
      <c r="A59" s="3" t="s">
        <v>470</v>
      </c>
      <c r="B59" s="3" t="s">
        <v>245</v>
      </c>
      <c r="C59" s="4">
        <v>46261.0</v>
      </c>
      <c r="D59" s="3">
        <v>1254000.0</v>
      </c>
      <c r="E59" s="6">
        <f t="array" ref="E59">_xlfn.XLOOKUP(B59,Invoices!$A:$A,Invoices!$C:$C,"NO INVOICE")</f>
        <v>46211</v>
      </c>
      <c r="F59" s="5" t="str">
        <f t="shared" si="1"/>
        <v>OK</v>
      </c>
    </row>
    <row r="60">
      <c r="A60" s="3" t="s">
        <v>471</v>
      </c>
      <c r="B60" s="3" t="s">
        <v>277</v>
      </c>
      <c r="C60" s="4">
        <v>46261.0</v>
      </c>
      <c r="D60" s="3">
        <v>979000.0</v>
      </c>
      <c r="E60" s="6">
        <f t="array" ref="E60">_xlfn.XLOOKUP(B60,Invoices!$A:$A,Invoices!$C:$C,"NO INVOICE")</f>
        <v>46222</v>
      </c>
      <c r="F60" s="5" t="str">
        <f t="shared" si="1"/>
        <v>OK</v>
      </c>
    </row>
    <row r="61">
      <c r="A61" s="3" t="s">
        <v>472</v>
      </c>
      <c r="B61" s="3" t="s">
        <v>242</v>
      </c>
      <c r="C61" s="4">
        <v>46263.0</v>
      </c>
      <c r="D61" s="3">
        <v>1173000.0</v>
      </c>
      <c r="E61" s="6">
        <f t="array" ref="E61">_xlfn.XLOOKUP(B61,Invoices!$A:$A,Invoices!$C:$C,"NO INVOICE")</f>
        <v>46209</v>
      </c>
      <c r="F61" s="5" t="str">
        <f t="shared" si="1"/>
        <v>OK</v>
      </c>
    </row>
    <row r="62">
      <c r="A62" s="3" t="s">
        <v>479</v>
      </c>
      <c r="B62" s="3" t="s">
        <v>234</v>
      </c>
      <c r="C62" s="4">
        <v>46264.0</v>
      </c>
      <c r="D62" s="3">
        <v>362000.0</v>
      </c>
      <c r="E62" s="6">
        <f t="array" ref="E62">_xlfn.XLOOKUP(B62,Invoices!$A:$A,Invoices!$C:$C,"NO INVOICE")</f>
        <v>46208</v>
      </c>
      <c r="F62" s="5" t="str">
        <f t="shared" si="1"/>
        <v>OK</v>
      </c>
    </row>
    <row r="63">
      <c r="A63" s="3" t="s">
        <v>480</v>
      </c>
      <c r="B63" s="3" t="s">
        <v>92</v>
      </c>
      <c r="C63" s="4">
        <v>46264.0</v>
      </c>
      <c r="D63" s="3">
        <v>577000.0</v>
      </c>
      <c r="E63" s="6">
        <f t="array" ref="E63">_xlfn.XLOOKUP(B63,Invoices!$A:$A,Invoices!$C:$C,"NO INVOICE")</f>
        <v>46160</v>
      </c>
      <c r="F63" s="5" t="str">
        <f t="shared" si="1"/>
        <v>OK</v>
      </c>
    </row>
    <row r="64">
      <c r="A64" s="3" t="s">
        <v>481</v>
      </c>
      <c r="B64" s="3" t="s">
        <v>233</v>
      </c>
      <c r="C64" s="4">
        <v>46266.0</v>
      </c>
      <c r="D64" s="3">
        <v>1465000.0</v>
      </c>
      <c r="E64" s="6">
        <f t="array" ref="E64">_xlfn.XLOOKUP(B64,Invoices!$A:$A,Invoices!$C:$C,"NO INVOICE")</f>
        <v>46199</v>
      </c>
      <c r="F64" s="5" t="str">
        <f t="shared" si="1"/>
        <v>OK</v>
      </c>
    </row>
    <row r="65">
      <c r="A65" s="3" t="s">
        <v>482</v>
      </c>
      <c r="B65" s="3" t="s">
        <v>266</v>
      </c>
      <c r="C65" s="4">
        <v>46269.0</v>
      </c>
      <c r="D65" s="3">
        <v>904000.0</v>
      </c>
      <c r="E65" s="6">
        <f t="array" ref="E65">_xlfn.XLOOKUP(B65,Invoices!$A:$A,Invoices!$C:$C,"NO INVOICE")</f>
        <v>46218</v>
      </c>
      <c r="F65" s="5" t="str">
        <f t="shared" si="1"/>
        <v>OK</v>
      </c>
    </row>
    <row r="66">
      <c r="A66" s="3" t="s">
        <v>483</v>
      </c>
      <c r="B66" s="3" t="s">
        <v>285</v>
      </c>
      <c r="C66" s="4">
        <v>46272.0</v>
      </c>
      <c r="D66" s="3">
        <v>360000.0</v>
      </c>
      <c r="E66" s="6">
        <f t="array" ref="E66">_xlfn.XLOOKUP(B66,Invoices!$A:$A,Invoices!$C:$C,"NO INVOICE")</f>
        <v>46223</v>
      </c>
      <c r="F66" s="5" t="str">
        <f t="shared" si="1"/>
        <v>OK</v>
      </c>
    </row>
    <row r="67">
      <c r="A67" s="3" t="s">
        <v>484</v>
      </c>
      <c r="B67" s="3" t="s">
        <v>202</v>
      </c>
      <c r="C67" s="4">
        <v>46272.0</v>
      </c>
      <c r="D67" s="3">
        <v>949000.0</v>
      </c>
      <c r="E67" s="6">
        <f t="array" ref="E67">_xlfn.XLOOKUP(B67,Invoices!$A:$A,Invoices!$C:$C,"NO INVOICE")</f>
        <v>46187</v>
      </c>
      <c r="F67" s="5" t="str">
        <f t="shared" si="1"/>
        <v>OK</v>
      </c>
    </row>
    <row r="68">
      <c r="A68" s="3" t="s">
        <v>485</v>
      </c>
      <c r="B68" s="3" t="s">
        <v>339</v>
      </c>
      <c r="C68" s="4">
        <v>46272.0</v>
      </c>
      <c r="D68" s="3">
        <v>934000.0</v>
      </c>
      <c r="E68" s="6">
        <f t="array" ref="E68">_xlfn.XLOOKUP(B68,Invoices!$A:$A,Invoices!$C:$C,"NO INVOICE")</f>
        <v>46246</v>
      </c>
      <c r="F68" s="5" t="str">
        <f t="shared" si="1"/>
        <v>OK</v>
      </c>
    </row>
    <row r="69">
      <c r="A69" s="3" t="s">
        <v>486</v>
      </c>
      <c r="B69" s="3" t="s">
        <v>257</v>
      </c>
      <c r="C69" s="4">
        <v>46273.0</v>
      </c>
      <c r="D69" s="3">
        <v>359000.0</v>
      </c>
      <c r="E69" s="6">
        <f t="array" ref="E69">_xlfn.XLOOKUP(B69,Invoices!$A:$A,Invoices!$C:$C,"NO INVOICE")</f>
        <v>46213</v>
      </c>
      <c r="F69" s="5" t="str">
        <f t="shared" si="1"/>
        <v>OK</v>
      </c>
    </row>
    <row r="70">
      <c r="A70" s="3" t="s">
        <v>487</v>
      </c>
      <c r="B70" s="3" t="s">
        <v>297</v>
      </c>
      <c r="C70" s="4">
        <v>46273.0</v>
      </c>
      <c r="D70" s="3">
        <v>669000.0</v>
      </c>
      <c r="E70" s="6">
        <f t="array" ref="E70">_xlfn.XLOOKUP(B70,Invoices!$A:$A,Invoices!$C:$C,"NO INVOICE")</f>
        <v>46227</v>
      </c>
      <c r="F70" s="5" t="str">
        <f t="shared" si="1"/>
        <v>OK</v>
      </c>
    </row>
    <row r="71">
      <c r="A71" s="3" t="s">
        <v>488</v>
      </c>
      <c r="B71" s="3" t="s">
        <v>96</v>
      </c>
      <c r="C71" s="4">
        <v>46273.0</v>
      </c>
      <c r="D71" s="3">
        <v>910000.0</v>
      </c>
      <c r="E71" s="6">
        <f t="array" ref="E71">_xlfn.XLOOKUP(B71,Invoices!$A:$A,Invoices!$C:$C,"NO INVOICE")</f>
        <v>46160</v>
      </c>
      <c r="F71" s="5" t="str">
        <f t="shared" si="1"/>
        <v>OK</v>
      </c>
    </row>
    <row r="72">
      <c r="A72" s="3" t="s">
        <v>489</v>
      </c>
      <c r="B72" s="3" t="s">
        <v>314</v>
      </c>
      <c r="C72" s="4">
        <v>46273.0</v>
      </c>
      <c r="D72" s="3">
        <v>633000.0</v>
      </c>
      <c r="E72" s="6">
        <f t="array" ref="E72">_xlfn.XLOOKUP(B72,Invoices!$A:$A,Invoices!$C:$C,"NO INVOICE")</f>
        <v>46240</v>
      </c>
      <c r="F72" s="5" t="str">
        <f t="shared" si="1"/>
        <v>OK</v>
      </c>
    </row>
    <row r="73">
      <c r="A73" s="3" t="s">
        <v>490</v>
      </c>
      <c r="B73" s="3" t="s">
        <v>123</v>
      </c>
      <c r="C73" s="4">
        <v>46274.0</v>
      </c>
      <c r="D73" s="3">
        <v>1112000.0</v>
      </c>
      <c r="E73" s="6">
        <f t="array" ref="E73">_xlfn.XLOOKUP(B73,Invoices!$A:$A,Invoices!$C:$C,"NO INVOICE")</f>
        <v>46166</v>
      </c>
      <c r="F73" s="5" t="str">
        <f t="shared" si="1"/>
        <v>OK</v>
      </c>
    </row>
    <row r="74">
      <c r="A74" s="3" t="s">
        <v>491</v>
      </c>
      <c r="B74" s="3" t="s">
        <v>165</v>
      </c>
      <c r="C74" s="4">
        <v>46274.0</v>
      </c>
      <c r="D74" s="3">
        <v>1040000.0</v>
      </c>
      <c r="E74" s="6">
        <f t="array" ref="E74">_xlfn.XLOOKUP(B74,Invoices!$A:$A,Invoices!$C:$C,"NO INVOICE")</f>
        <v>46183</v>
      </c>
      <c r="F74" s="5" t="str">
        <f t="shared" si="1"/>
        <v>OK</v>
      </c>
    </row>
    <row r="75">
      <c r="A75" s="3" t="s">
        <v>492</v>
      </c>
      <c r="B75" s="3" t="s">
        <v>243</v>
      </c>
      <c r="C75" s="4">
        <v>46274.0</v>
      </c>
      <c r="D75" s="3">
        <v>908000.0</v>
      </c>
      <c r="E75" s="6">
        <f t="array" ref="E75">_xlfn.XLOOKUP(B75,Invoices!$A:$A,Invoices!$C:$C,"NO INVOICE")</f>
        <v>46210</v>
      </c>
      <c r="F75" s="5" t="str">
        <f t="shared" si="1"/>
        <v>OK</v>
      </c>
    </row>
    <row r="76">
      <c r="A76" s="3" t="s">
        <v>493</v>
      </c>
      <c r="B76" s="3" t="s">
        <v>316</v>
      </c>
      <c r="C76" s="4">
        <v>46274.0</v>
      </c>
      <c r="D76" s="3">
        <v>572000.0</v>
      </c>
      <c r="E76" s="6">
        <f t="array" ref="E76">_xlfn.XLOOKUP(B76,Invoices!$A:$A,Invoices!$C:$C,"NO INVOICE")</f>
        <v>46240</v>
      </c>
      <c r="F76" s="5" t="str">
        <f t="shared" si="1"/>
        <v>OK</v>
      </c>
    </row>
    <row r="77">
      <c r="A77" s="3" t="s">
        <v>494</v>
      </c>
      <c r="B77" s="3" t="s">
        <v>254</v>
      </c>
      <c r="C77" s="4">
        <v>46277.0</v>
      </c>
      <c r="D77" s="3">
        <v>1503000.0</v>
      </c>
      <c r="E77" s="6">
        <f t="array" ref="E77">_xlfn.XLOOKUP(B77,Invoices!$A:$A,Invoices!$C:$C,"NO INVOICE")</f>
        <v>46213</v>
      </c>
      <c r="F77" s="5" t="str">
        <f t="shared" si="1"/>
        <v>OK</v>
      </c>
    </row>
    <row r="78">
      <c r="A78" s="3" t="s">
        <v>495</v>
      </c>
      <c r="B78" s="3" t="s">
        <v>149</v>
      </c>
      <c r="C78" s="4">
        <v>46277.0</v>
      </c>
      <c r="D78" s="3">
        <v>1640000.0</v>
      </c>
      <c r="E78" s="6">
        <f t="array" ref="E78">_xlfn.XLOOKUP(B78,Invoices!$A:$A,Invoices!$C:$C,"NO INVOICE")</f>
        <v>46179</v>
      </c>
      <c r="F78" s="5" t="str">
        <f t="shared" si="1"/>
        <v>OK</v>
      </c>
    </row>
    <row r="79">
      <c r="A79" s="3" t="s">
        <v>496</v>
      </c>
      <c r="B79" s="3" t="s">
        <v>275</v>
      </c>
      <c r="C79" s="4">
        <v>46277.0</v>
      </c>
      <c r="D79" s="3">
        <v>555000.0</v>
      </c>
      <c r="E79" s="6">
        <f t="array" ref="E79">_xlfn.XLOOKUP(B79,Invoices!$A:$A,Invoices!$C:$C,"NO INVOICE")</f>
        <v>46221</v>
      </c>
      <c r="F79" s="5" t="str">
        <f t="shared" si="1"/>
        <v>OK</v>
      </c>
    </row>
    <row r="80">
      <c r="A80" s="3" t="s">
        <v>503</v>
      </c>
      <c r="B80" s="3" t="s">
        <v>302</v>
      </c>
      <c r="C80" s="4">
        <v>46278.0</v>
      </c>
      <c r="D80" s="3">
        <v>1501000.0</v>
      </c>
      <c r="E80" s="6">
        <f t="array" ref="E80">_xlfn.XLOOKUP(B80,Invoices!$A:$A,Invoices!$C:$C,"NO INVOICE")</f>
        <v>46229</v>
      </c>
      <c r="F80" s="5" t="str">
        <f t="shared" si="1"/>
        <v>OK</v>
      </c>
    </row>
    <row r="81">
      <c r="A81" s="3" t="s">
        <v>505</v>
      </c>
      <c r="B81" s="3" t="s">
        <v>299</v>
      </c>
      <c r="C81" s="4">
        <v>46281.0</v>
      </c>
      <c r="D81" s="3">
        <v>890000.0</v>
      </c>
      <c r="E81" s="6">
        <f t="array" ref="E81">_xlfn.XLOOKUP(B81,Invoices!$A:$A,Invoices!$C:$C,"NO INVOICE")</f>
        <v>46227</v>
      </c>
      <c r="F81" s="5" t="str">
        <f t="shared" si="1"/>
        <v>OK</v>
      </c>
    </row>
    <row r="82">
      <c r="A82" s="3" t="s">
        <v>506</v>
      </c>
      <c r="B82" s="3" t="s">
        <v>292</v>
      </c>
      <c r="C82" s="4">
        <v>46283.0</v>
      </c>
      <c r="D82" s="3">
        <v>481000.0</v>
      </c>
      <c r="E82" s="6">
        <f t="array" ref="E82">_xlfn.XLOOKUP(B82,Invoices!$A:$A,Invoices!$C:$C,"NO INVOICE")</f>
        <v>46226</v>
      </c>
      <c r="F82" s="5" t="str">
        <f t="shared" si="1"/>
        <v>OK</v>
      </c>
    </row>
    <row r="83">
      <c r="A83" s="3" t="s">
        <v>507</v>
      </c>
      <c r="B83" s="3" t="s">
        <v>280</v>
      </c>
      <c r="C83" s="4">
        <v>46284.0</v>
      </c>
      <c r="D83" s="3">
        <v>516000.0</v>
      </c>
      <c r="E83" s="6">
        <f t="array" ref="E83">_xlfn.XLOOKUP(B83,Invoices!$A:$A,Invoices!$C:$C,"NO INVOICE")</f>
        <v>46223</v>
      </c>
      <c r="F83" s="5" t="str">
        <f t="shared" si="1"/>
        <v>OK</v>
      </c>
    </row>
    <row r="84">
      <c r="A84" s="3" t="s">
        <v>508</v>
      </c>
      <c r="B84" s="3" t="s">
        <v>39</v>
      </c>
      <c r="C84" s="4">
        <v>46284.0</v>
      </c>
      <c r="D84" s="3">
        <v>339000.0</v>
      </c>
      <c r="E84" s="6">
        <f t="array" ref="E84">_xlfn.XLOOKUP(B84,Invoices!$A:$A,Invoices!$C:$C,"NO INVOICE")</f>
        <v>46147</v>
      </c>
      <c r="F84" s="5" t="str">
        <f t="shared" si="1"/>
        <v>OK</v>
      </c>
    </row>
    <row r="85">
      <c r="A85" s="3" t="s">
        <v>509</v>
      </c>
      <c r="B85" s="3" t="s">
        <v>221</v>
      </c>
      <c r="C85" s="4">
        <v>46285.0</v>
      </c>
      <c r="D85" s="3">
        <v>1062000.0</v>
      </c>
      <c r="E85" s="6">
        <f t="array" ref="E85">_xlfn.XLOOKUP(B85,Invoices!$A:$A,Invoices!$C:$C,"NO INVOICE")</f>
        <v>46195</v>
      </c>
      <c r="F85" s="5" t="str">
        <f t="shared" si="1"/>
        <v>OK</v>
      </c>
    </row>
    <row r="86">
      <c r="A86" s="3" t="s">
        <v>510</v>
      </c>
      <c r="B86" s="3" t="s">
        <v>345</v>
      </c>
      <c r="C86" s="4">
        <v>46286.0</v>
      </c>
      <c r="D86" s="3">
        <v>808000.0</v>
      </c>
      <c r="E86" s="6">
        <f t="array" ref="E86">_xlfn.XLOOKUP(B86,Invoices!$A:$A,Invoices!$C:$C,"NO INVOICE")</f>
        <v>46249</v>
      </c>
      <c r="F86" s="5" t="str">
        <f t="shared" si="1"/>
        <v>OK</v>
      </c>
    </row>
    <row r="87">
      <c r="A87" s="3" t="s">
        <v>511</v>
      </c>
      <c r="B87" s="3" t="s">
        <v>349</v>
      </c>
      <c r="C87" s="4">
        <v>46286.0</v>
      </c>
      <c r="D87" s="3">
        <v>687000.0</v>
      </c>
      <c r="E87" s="6">
        <f t="array" ref="E87">_xlfn.XLOOKUP(B87,Invoices!$A:$A,Invoices!$C:$C,"NO INVOICE")</f>
        <v>46250</v>
      </c>
      <c r="F87" s="5" t="str">
        <f t="shared" si="1"/>
        <v>OK</v>
      </c>
    </row>
    <row r="88">
      <c r="A88" s="3" t="s">
        <v>512</v>
      </c>
      <c r="B88" s="3" t="s">
        <v>324</v>
      </c>
      <c r="C88" s="4">
        <v>46289.0</v>
      </c>
      <c r="D88" s="3">
        <v>1534000.0</v>
      </c>
      <c r="E88" s="6">
        <f t="array" ref="E88">_xlfn.XLOOKUP(B88,Invoices!$A:$A,Invoices!$C:$C,"NO INVOICE")</f>
        <v>46243</v>
      </c>
      <c r="F88" s="5" t="str">
        <f t="shared" si="1"/>
        <v>OK</v>
      </c>
    </row>
    <row r="89">
      <c r="A89" s="3" t="s">
        <v>513</v>
      </c>
      <c r="B89" s="3" t="s">
        <v>365</v>
      </c>
      <c r="C89" s="4">
        <v>46290.0</v>
      </c>
      <c r="D89" s="3">
        <v>1099000.0</v>
      </c>
      <c r="E89" s="6">
        <f t="array" ref="E89">_xlfn.XLOOKUP(B89,Invoices!$A:$A,Invoices!$C:$C,"NO INVOICE")</f>
        <v>46259</v>
      </c>
      <c r="F89" s="5" t="str">
        <f t="shared" si="1"/>
        <v>OK</v>
      </c>
    </row>
    <row r="90">
      <c r="A90" s="3" t="s">
        <v>514</v>
      </c>
      <c r="B90" s="3" t="s">
        <v>342</v>
      </c>
      <c r="C90" s="4">
        <v>46291.0</v>
      </c>
      <c r="D90" s="3">
        <v>280000.0</v>
      </c>
      <c r="E90" s="6">
        <f t="array" ref="E90">_xlfn.XLOOKUP(B90,Invoices!$A:$A,Invoices!$C:$C,"NO INVOICE")</f>
        <v>46248</v>
      </c>
      <c r="F90" s="5" t="str">
        <f t="shared" si="1"/>
        <v>OK</v>
      </c>
    </row>
    <row r="91">
      <c r="A91" s="3" t="s">
        <v>515</v>
      </c>
      <c r="B91" s="3" t="s">
        <v>214</v>
      </c>
      <c r="C91" s="4">
        <v>46292.0</v>
      </c>
      <c r="D91" s="3">
        <v>842000.0</v>
      </c>
      <c r="E91" s="6">
        <f t="array" ref="E91">_xlfn.XLOOKUP(B91,Invoices!$A:$A,Invoices!$C:$C,"NO INVOICE")</f>
        <v>46192</v>
      </c>
      <c r="F91" s="5" t="str">
        <f t="shared" si="1"/>
        <v>OK</v>
      </c>
    </row>
    <row r="92">
      <c r="A92" s="3" t="s">
        <v>516</v>
      </c>
      <c r="B92" s="3" t="s">
        <v>198</v>
      </c>
      <c r="C92" s="4">
        <v>46293.0</v>
      </c>
      <c r="D92" s="3">
        <v>896000.0</v>
      </c>
      <c r="E92" s="6">
        <f t="array" ref="E92">_xlfn.XLOOKUP(B92,Invoices!$A:$A,Invoices!$C:$C,"NO INVOICE")</f>
        <v>46187</v>
      </c>
      <c r="F92" s="5" t="str">
        <f t="shared" si="1"/>
        <v>OK</v>
      </c>
    </row>
    <row r="93">
      <c r="A93" s="3" t="s">
        <v>517</v>
      </c>
      <c r="B93" s="3" t="s">
        <v>310</v>
      </c>
      <c r="C93" s="4">
        <v>46293.0</v>
      </c>
      <c r="D93" s="3">
        <v>371000.0</v>
      </c>
      <c r="E93" s="6">
        <f t="array" ref="E93">_xlfn.XLOOKUP(B93,Invoices!$A:$A,Invoices!$C:$C,"NO INVOICE")</f>
        <v>46238</v>
      </c>
      <c r="F93" s="5" t="str">
        <f t="shared" si="1"/>
        <v>OK</v>
      </c>
    </row>
    <row r="94">
      <c r="A94" s="3" t="s">
        <v>518</v>
      </c>
      <c r="B94" s="3" t="s">
        <v>326</v>
      </c>
      <c r="C94" s="4">
        <v>46294.0</v>
      </c>
      <c r="D94" s="3">
        <v>1248000.0</v>
      </c>
      <c r="E94" s="6">
        <f t="array" ref="E94">_xlfn.XLOOKUP(B94,Invoices!$A:$A,Invoices!$C:$C,"NO INVOICE")</f>
        <v>46244</v>
      </c>
      <c r="F94" s="5" t="str">
        <f t="shared" si="1"/>
        <v>OK</v>
      </c>
    </row>
    <row r="95">
      <c r="A95" s="3" t="s">
        <v>519</v>
      </c>
      <c r="B95" s="3" t="s">
        <v>282</v>
      </c>
      <c r="C95" s="4">
        <v>46295.0</v>
      </c>
      <c r="D95" s="3">
        <v>1140000.0</v>
      </c>
      <c r="E95" s="6">
        <f t="array" ref="E95">_xlfn.XLOOKUP(B95,Invoices!$A:$A,Invoices!$C:$C,"NO INVOICE")</f>
        <v>46223</v>
      </c>
      <c r="F95" s="5" t="str">
        <f t="shared" si="1"/>
        <v>OK</v>
      </c>
    </row>
    <row r="96">
      <c r="A96" s="3" t="s">
        <v>521</v>
      </c>
      <c r="B96" s="3" t="s">
        <v>347</v>
      </c>
      <c r="C96" s="4">
        <v>46295.0</v>
      </c>
      <c r="D96" s="3">
        <v>856000.0</v>
      </c>
      <c r="E96" s="6">
        <f t="array" ref="E96">_xlfn.XLOOKUP(B96,Invoices!$A:$A,Invoices!$C:$C,"NO INVOICE")</f>
        <v>46249</v>
      </c>
      <c r="F96" s="5" t="str">
        <f t="shared" si="1"/>
        <v>OK</v>
      </c>
    </row>
    <row r="97">
      <c r="A97" s="3" t="s">
        <v>522</v>
      </c>
      <c r="B97" s="3" t="s">
        <v>523</v>
      </c>
      <c r="C97" s="4">
        <v>46283.0</v>
      </c>
      <c r="D97" s="3">
        <v>300000.0</v>
      </c>
      <c r="E97" s="5" t="str">
        <f t="array" ref="E97">_xlfn.XLOOKUP(B97,Invoices!$A:$A,Invoices!$C:$C,"NO INVOICE")</f>
        <v>NO INVOICE</v>
      </c>
      <c r="F97" s="5" t="str">
        <f t="shared" si="1"/>
        <v>NO INVOICE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25"/>
    <col customWidth="1" min="5" max="5" width="12.0"/>
    <col customWidth="1" min="6" max="6" width="16.0"/>
    <col customWidth="1" min="7" max="7" width="13.75"/>
  </cols>
  <sheetData>
    <row r="1">
      <c r="A1" s="1" t="s">
        <v>2</v>
      </c>
      <c r="B1" s="1" t="s">
        <v>10</v>
      </c>
      <c r="C1" s="1" t="s">
        <v>15</v>
      </c>
      <c r="D1" s="1" t="s">
        <v>16</v>
      </c>
      <c r="E1" s="1" t="s">
        <v>18</v>
      </c>
      <c r="F1" s="3" t="s">
        <v>19</v>
      </c>
      <c r="G1" s="3" t="s">
        <v>21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28</v>
      </c>
      <c r="B2" s="3" t="s">
        <v>25</v>
      </c>
      <c r="C2" s="3" t="s">
        <v>32</v>
      </c>
      <c r="D2" s="3">
        <v>98000.0</v>
      </c>
      <c r="E2" s="4">
        <v>45648.0</v>
      </c>
      <c r="F2" s="5" t="str">
        <f t="shared" ref="F2:F122" si="1">PROPER(TRIM(B2))</f>
        <v>Audit</v>
      </c>
      <c r="G2" s="5" t="str">
        <f t="shared" ref="G2:G122" si="2">IF(COUNTIF($A$2:A2,A2)&gt;1,"DUPLICATE","OK")</f>
        <v>OK</v>
      </c>
    </row>
    <row r="3">
      <c r="A3" s="3" t="s">
        <v>85</v>
      </c>
      <c r="B3" s="3" t="s">
        <v>35</v>
      </c>
      <c r="C3" s="3" t="s">
        <v>88</v>
      </c>
      <c r="D3" s="3">
        <v>237000.0</v>
      </c>
      <c r="E3" s="4">
        <v>45455.0</v>
      </c>
      <c r="F3" s="5" t="str">
        <f t="shared" si="1"/>
        <v>Tax</v>
      </c>
      <c r="G3" s="5" t="str">
        <f t="shared" si="2"/>
        <v>OK</v>
      </c>
    </row>
    <row r="4">
      <c r="A4" s="3" t="s">
        <v>98</v>
      </c>
      <c r="B4" s="3" t="s">
        <v>43</v>
      </c>
      <c r="C4" s="3" t="s">
        <v>32</v>
      </c>
      <c r="D4" s="3">
        <v>98000.0</v>
      </c>
      <c r="E4" s="4">
        <v>44191.0</v>
      </c>
      <c r="F4" s="5" t="str">
        <f t="shared" si="1"/>
        <v>Consulting</v>
      </c>
      <c r="G4" s="5" t="str">
        <f t="shared" si="2"/>
        <v>OK</v>
      </c>
    </row>
    <row r="5">
      <c r="A5" s="3" t="s">
        <v>107</v>
      </c>
      <c r="B5" s="3" t="s">
        <v>50</v>
      </c>
      <c r="C5" s="3" t="s">
        <v>108</v>
      </c>
      <c r="D5" s="3">
        <v>72000.0</v>
      </c>
      <c r="E5" s="4">
        <v>45625.0</v>
      </c>
      <c r="F5" s="5" t="str">
        <f t="shared" si="1"/>
        <v>Risk Advisory</v>
      </c>
      <c r="G5" s="5" t="str">
        <f t="shared" si="2"/>
        <v>OK</v>
      </c>
    </row>
    <row r="6">
      <c r="A6" s="3" t="s">
        <v>111</v>
      </c>
      <c r="B6" s="3" t="s">
        <v>25</v>
      </c>
      <c r="C6" s="3" t="s">
        <v>32</v>
      </c>
      <c r="D6" s="3">
        <v>88000.0</v>
      </c>
      <c r="E6" s="4">
        <v>43617.0</v>
      </c>
      <c r="F6" s="5" t="str">
        <f t="shared" si="1"/>
        <v>Audit</v>
      </c>
      <c r="G6" s="5" t="str">
        <f t="shared" si="2"/>
        <v>OK</v>
      </c>
    </row>
    <row r="7">
      <c r="A7" s="3" t="s">
        <v>119</v>
      </c>
      <c r="B7" s="3" t="s">
        <v>35</v>
      </c>
      <c r="C7" s="3" t="s">
        <v>88</v>
      </c>
      <c r="D7" s="3">
        <v>192000.0</v>
      </c>
      <c r="E7" s="4">
        <v>43660.0</v>
      </c>
      <c r="F7" s="5" t="str">
        <f t="shared" si="1"/>
        <v>Tax</v>
      </c>
      <c r="G7" s="5" t="str">
        <f t="shared" si="2"/>
        <v>OK</v>
      </c>
    </row>
    <row r="8">
      <c r="A8" s="3" t="s">
        <v>125</v>
      </c>
      <c r="B8" s="3" t="s">
        <v>43</v>
      </c>
      <c r="C8" s="3" t="s">
        <v>108</v>
      </c>
      <c r="D8" s="3">
        <v>64000.0</v>
      </c>
      <c r="E8" s="4">
        <v>44782.0</v>
      </c>
      <c r="F8" s="5" t="str">
        <f t="shared" si="1"/>
        <v>Consulting</v>
      </c>
      <c r="G8" s="5" t="str">
        <f t="shared" si="2"/>
        <v>OK</v>
      </c>
    </row>
    <row r="9">
      <c r="A9" s="3" t="s">
        <v>130</v>
      </c>
      <c r="B9" s="3" t="s">
        <v>50</v>
      </c>
      <c r="C9" s="3" t="s">
        <v>108</v>
      </c>
      <c r="D9" s="3">
        <v>71000.0</v>
      </c>
      <c r="E9" s="4">
        <v>43933.0</v>
      </c>
      <c r="F9" s="5" t="str">
        <f t="shared" si="1"/>
        <v>Risk Advisory</v>
      </c>
      <c r="G9" s="5" t="str">
        <f t="shared" si="2"/>
        <v>OK</v>
      </c>
    </row>
    <row r="10">
      <c r="A10" s="3" t="s">
        <v>135</v>
      </c>
      <c r="B10" s="3" t="s">
        <v>25</v>
      </c>
      <c r="C10" s="3" t="s">
        <v>108</v>
      </c>
      <c r="D10" s="3">
        <v>72000.0</v>
      </c>
      <c r="E10" s="4">
        <v>45372.0</v>
      </c>
      <c r="F10" s="5" t="str">
        <f t="shared" si="1"/>
        <v>Audit</v>
      </c>
      <c r="G10" s="5" t="str">
        <f t="shared" si="2"/>
        <v>OK</v>
      </c>
    </row>
    <row r="11">
      <c r="A11" s="3" t="s">
        <v>140</v>
      </c>
      <c r="B11" s="3" t="s">
        <v>35</v>
      </c>
      <c r="C11" s="3" t="s">
        <v>32</v>
      </c>
      <c r="D11" s="3">
        <v>89000.0</v>
      </c>
      <c r="E11" s="4">
        <v>45778.0</v>
      </c>
      <c r="F11" s="5" t="str">
        <f t="shared" si="1"/>
        <v>Tax</v>
      </c>
      <c r="G11" s="5" t="str">
        <f t="shared" si="2"/>
        <v>OK</v>
      </c>
    </row>
    <row r="12">
      <c r="A12" s="3" t="s">
        <v>144</v>
      </c>
      <c r="B12" s="3" t="s">
        <v>43</v>
      </c>
      <c r="C12" s="3" t="s">
        <v>146</v>
      </c>
      <c r="D12" s="3">
        <v>130000.0</v>
      </c>
      <c r="E12" s="4">
        <v>44838.0</v>
      </c>
      <c r="F12" s="5" t="str">
        <f t="shared" si="1"/>
        <v>Consulting</v>
      </c>
      <c r="G12" s="5" t="str">
        <f t="shared" si="2"/>
        <v>OK</v>
      </c>
    </row>
    <row r="13">
      <c r="A13" s="3" t="s">
        <v>150</v>
      </c>
      <c r="B13" s="3" t="s">
        <v>50</v>
      </c>
      <c r="C13" s="3" t="s">
        <v>152</v>
      </c>
      <c r="D13" s="3">
        <v>437000.0</v>
      </c>
      <c r="E13" s="4">
        <v>44451.0</v>
      </c>
      <c r="F13" s="5" t="str">
        <f t="shared" si="1"/>
        <v>Risk Advisory</v>
      </c>
      <c r="G13" s="5" t="str">
        <f t="shared" si="2"/>
        <v>OK</v>
      </c>
    </row>
    <row r="14">
      <c r="A14" s="3" t="s">
        <v>157</v>
      </c>
      <c r="B14" s="3" t="s">
        <v>25</v>
      </c>
      <c r="C14" s="3" t="s">
        <v>146</v>
      </c>
      <c r="D14" s="3">
        <v>137000.0</v>
      </c>
      <c r="E14" s="4">
        <v>45546.0</v>
      </c>
      <c r="F14" s="5" t="str">
        <f t="shared" si="1"/>
        <v>Audit</v>
      </c>
      <c r="G14" s="5" t="str">
        <f t="shared" si="2"/>
        <v>OK</v>
      </c>
    </row>
    <row r="15">
      <c r="A15" s="3" t="s">
        <v>162</v>
      </c>
      <c r="B15" s="3" t="s">
        <v>35</v>
      </c>
      <c r="C15" s="3" t="s">
        <v>146</v>
      </c>
      <c r="D15" s="3">
        <v>140000.0</v>
      </c>
      <c r="E15" s="4">
        <v>45322.0</v>
      </c>
      <c r="F15" s="5" t="str">
        <f t="shared" si="1"/>
        <v>Tax</v>
      </c>
      <c r="G15" s="5" t="str">
        <f t="shared" si="2"/>
        <v>OK</v>
      </c>
    </row>
    <row r="16">
      <c r="A16" s="3" t="s">
        <v>166</v>
      </c>
      <c r="B16" s="3" t="s">
        <v>43</v>
      </c>
      <c r="C16" s="3" t="s">
        <v>146</v>
      </c>
      <c r="D16" s="3">
        <v>126000.0</v>
      </c>
      <c r="E16" s="4">
        <v>45288.0</v>
      </c>
      <c r="F16" s="5" t="str">
        <f t="shared" si="1"/>
        <v>Consulting</v>
      </c>
      <c r="G16" s="5" t="str">
        <f t="shared" si="2"/>
        <v>OK</v>
      </c>
    </row>
    <row r="17">
      <c r="A17" s="3" t="s">
        <v>170</v>
      </c>
      <c r="B17" s="3" t="s">
        <v>50</v>
      </c>
      <c r="C17" s="3" t="s">
        <v>32</v>
      </c>
      <c r="D17" s="3">
        <v>89000.0</v>
      </c>
      <c r="E17" s="4">
        <v>44030.0</v>
      </c>
      <c r="F17" s="5" t="str">
        <f t="shared" si="1"/>
        <v>Risk Advisory</v>
      </c>
      <c r="G17" s="5" t="str">
        <f t="shared" si="2"/>
        <v>OK</v>
      </c>
    </row>
    <row r="18">
      <c r="A18" s="3" t="s">
        <v>176</v>
      </c>
      <c r="B18" s="3" t="s">
        <v>25</v>
      </c>
      <c r="C18" s="3" t="s">
        <v>108</v>
      </c>
      <c r="D18" s="3">
        <v>72000.0</v>
      </c>
      <c r="E18" s="4">
        <v>45950.0</v>
      </c>
      <c r="F18" s="5" t="str">
        <f t="shared" si="1"/>
        <v>Audit</v>
      </c>
      <c r="G18" s="5" t="str">
        <f t="shared" si="2"/>
        <v>OK</v>
      </c>
    </row>
    <row r="19">
      <c r="A19" s="3" t="s">
        <v>180</v>
      </c>
      <c r="B19" s="3" t="s">
        <v>35</v>
      </c>
      <c r="C19" s="3" t="s">
        <v>32</v>
      </c>
      <c r="D19" s="3">
        <v>105000.0</v>
      </c>
      <c r="E19" s="4">
        <v>46136.0</v>
      </c>
      <c r="F19" s="5" t="str">
        <f t="shared" si="1"/>
        <v>Tax</v>
      </c>
      <c r="G19" s="5" t="str">
        <f t="shared" si="2"/>
        <v>OK</v>
      </c>
    </row>
    <row r="20">
      <c r="A20" s="3" t="s">
        <v>183</v>
      </c>
      <c r="B20" s="3" t="s">
        <v>43</v>
      </c>
      <c r="C20" s="3" t="s">
        <v>184</v>
      </c>
      <c r="D20" s="3">
        <v>608000.0</v>
      </c>
      <c r="E20" s="4">
        <v>44823.0</v>
      </c>
      <c r="F20" s="5" t="str">
        <f t="shared" si="1"/>
        <v>Consulting</v>
      </c>
      <c r="G20" s="5" t="str">
        <f t="shared" si="2"/>
        <v>OK</v>
      </c>
    </row>
    <row r="21">
      <c r="A21" s="3" t="s">
        <v>186</v>
      </c>
      <c r="B21" s="3" t="s">
        <v>50</v>
      </c>
      <c r="C21" s="3" t="s">
        <v>32</v>
      </c>
      <c r="D21" s="3">
        <v>87000.0</v>
      </c>
      <c r="E21" s="4">
        <v>44676.0</v>
      </c>
      <c r="F21" s="5" t="str">
        <f t="shared" si="1"/>
        <v>Risk Advisory</v>
      </c>
      <c r="G21" s="5" t="str">
        <f t="shared" si="2"/>
        <v>OK</v>
      </c>
    </row>
    <row r="22">
      <c r="A22" s="3" t="s">
        <v>189</v>
      </c>
      <c r="B22" s="3" t="s">
        <v>25</v>
      </c>
      <c r="C22" s="3" t="s">
        <v>146</v>
      </c>
      <c r="D22" s="3">
        <v>141000.0</v>
      </c>
      <c r="E22" s="4">
        <v>44761.0</v>
      </c>
      <c r="F22" s="5" t="str">
        <f t="shared" si="1"/>
        <v>Audit</v>
      </c>
      <c r="G22" s="5" t="str">
        <f t="shared" si="2"/>
        <v>OK</v>
      </c>
    </row>
    <row r="23">
      <c r="A23" s="3" t="s">
        <v>192</v>
      </c>
      <c r="B23" s="3" t="s">
        <v>35</v>
      </c>
      <c r="C23" s="3" t="s">
        <v>108</v>
      </c>
      <c r="D23" s="3">
        <v>61000.0</v>
      </c>
      <c r="E23" s="4">
        <v>44733.0</v>
      </c>
      <c r="F23" s="5" t="str">
        <f t="shared" si="1"/>
        <v>Tax</v>
      </c>
      <c r="G23" s="5" t="str">
        <f t="shared" si="2"/>
        <v>OK</v>
      </c>
    </row>
    <row r="24">
      <c r="A24" s="3" t="s">
        <v>197</v>
      </c>
      <c r="B24" s="3" t="s">
        <v>43</v>
      </c>
      <c r="C24" s="3" t="s">
        <v>88</v>
      </c>
      <c r="D24" s="3">
        <v>191000.0</v>
      </c>
      <c r="E24" s="4">
        <v>45172.0</v>
      </c>
      <c r="F24" s="5" t="str">
        <f t="shared" si="1"/>
        <v>Consulting</v>
      </c>
      <c r="G24" s="5" t="str">
        <f t="shared" si="2"/>
        <v>OK</v>
      </c>
    </row>
    <row r="25">
      <c r="A25" s="3" t="s">
        <v>201</v>
      </c>
      <c r="B25" s="3" t="s">
        <v>50</v>
      </c>
      <c r="C25" s="3" t="s">
        <v>108</v>
      </c>
      <c r="D25" s="3">
        <v>66000.0</v>
      </c>
      <c r="E25" s="4">
        <v>44094.0</v>
      </c>
      <c r="F25" s="5" t="str">
        <f t="shared" si="1"/>
        <v>Risk Advisory</v>
      </c>
      <c r="G25" s="5" t="str">
        <f t="shared" si="2"/>
        <v>OK</v>
      </c>
    </row>
    <row r="26">
      <c r="A26" s="3" t="s">
        <v>204</v>
      </c>
      <c r="B26" s="3" t="s">
        <v>25</v>
      </c>
      <c r="C26" s="3" t="s">
        <v>32</v>
      </c>
      <c r="D26" s="3">
        <v>97000.0</v>
      </c>
      <c r="E26" s="4">
        <v>43503.0</v>
      </c>
      <c r="F26" s="5" t="str">
        <f t="shared" si="1"/>
        <v>Audit</v>
      </c>
      <c r="G26" s="5" t="str">
        <f t="shared" si="2"/>
        <v>OK</v>
      </c>
    </row>
    <row r="27">
      <c r="A27" s="3" t="s">
        <v>206</v>
      </c>
      <c r="B27" s="3" t="s">
        <v>35</v>
      </c>
      <c r="C27" s="3" t="s">
        <v>108</v>
      </c>
      <c r="D27" s="3">
        <v>72000.0</v>
      </c>
      <c r="E27" s="4">
        <v>43693.0</v>
      </c>
      <c r="F27" s="5" t="str">
        <f t="shared" si="1"/>
        <v>Tax</v>
      </c>
      <c r="G27" s="5" t="str">
        <f t="shared" si="2"/>
        <v>OK</v>
      </c>
    </row>
    <row r="28">
      <c r="A28" s="3" t="s">
        <v>209</v>
      </c>
      <c r="B28" s="3" t="s">
        <v>43</v>
      </c>
      <c r="C28" s="3" t="s">
        <v>146</v>
      </c>
      <c r="D28" s="3">
        <v>149000.0</v>
      </c>
      <c r="E28" s="4">
        <v>44564.0</v>
      </c>
      <c r="F28" s="5" t="str">
        <f t="shared" si="1"/>
        <v>Consulting</v>
      </c>
      <c r="G28" s="5" t="str">
        <f t="shared" si="2"/>
        <v>OK</v>
      </c>
    </row>
    <row r="29">
      <c r="A29" s="3" t="s">
        <v>213</v>
      </c>
      <c r="B29" s="3" t="s">
        <v>50</v>
      </c>
      <c r="C29" s="3" t="s">
        <v>146</v>
      </c>
      <c r="D29" s="3">
        <v>128000.0</v>
      </c>
      <c r="E29" s="4">
        <v>45275.0</v>
      </c>
      <c r="F29" s="5" t="str">
        <f t="shared" si="1"/>
        <v>Risk Advisory</v>
      </c>
      <c r="G29" s="5" t="str">
        <f t="shared" si="2"/>
        <v>OK</v>
      </c>
    </row>
    <row r="30">
      <c r="A30" s="3" t="s">
        <v>215</v>
      </c>
      <c r="B30" s="3" t="s">
        <v>25</v>
      </c>
      <c r="C30" s="3" t="s">
        <v>32</v>
      </c>
      <c r="D30" s="3">
        <v>98000.0</v>
      </c>
      <c r="E30" s="4">
        <v>45845.0</v>
      </c>
      <c r="F30" s="5" t="str">
        <f t="shared" si="1"/>
        <v>Audit</v>
      </c>
      <c r="G30" s="5" t="str">
        <f t="shared" si="2"/>
        <v>OK</v>
      </c>
    </row>
    <row r="31">
      <c r="A31" s="3" t="s">
        <v>217</v>
      </c>
      <c r="B31" s="3" t="s">
        <v>35</v>
      </c>
      <c r="C31" s="3" t="s">
        <v>88</v>
      </c>
      <c r="D31" s="3">
        <v>214000.0</v>
      </c>
      <c r="E31" s="4">
        <v>44379.0</v>
      </c>
      <c r="F31" s="5" t="str">
        <f t="shared" si="1"/>
        <v>Tax</v>
      </c>
      <c r="G31" s="5" t="str">
        <f t="shared" si="2"/>
        <v>OK</v>
      </c>
    </row>
    <row r="32">
      <c r="A32" s="3" t="s">
        <v>220</v>
      </c>
      <c r="B32" s="3" t="s">
        <v>43</v>
      </c>
      <c r="C32" s="3" t="s">
        <v>146</v>
      </c>
      <c r="D32" s="3">
        <v>156000.0</v>
      </c>
      <c r="E32" s="4">
        <v>44464.0</v>
      </c>
      <c r="F32" s="5" t="str">
        <f t="shared" si="1"/>
        <v>Consulting</v>
      </c>
      <c r="G32" s="5" t="str">
        <f t="shared" si="2"/>
        <v>OK</v>
      </c>
    </row>
    <row r="33">
      <c r="A33" s="3" t="s">
        <v>223</v>
      </c>
      <c r="B33" s="3" t="s">
        <v>50</v>
      </c>
      <c r="C33" s="3" t="s">
        <v>88</v>
      </c>
      <c r="D33" s="3">
        <v>220000.0</v>
      </c>
      <c r="E33" s="4">
        <v>44828.0</v>
      </c>
      <c r="F33" s="5" t="str">
        <f t="shared" si="1"/>
        <v>Risk Advisory</v>
      </c>
      <c r="G33" s="5" t="str">
        <f t="shared" si="2"/>
        <v>OK</v>
      </c>
    </row>
    <row r="34">
      <c r="A34" s="3" t="s">
        <v>225</v>
      </c>
      <c r="B34" s="3" t="s">
        <v>25</v>
      </c>
      <c r="C34" s="3" t="s">
        <v>88</v>
      </c>
      <c r="D34" s="3">
        <v>207000.0</v>
      </c>
      <c r="E34" s="4">
        <v>45039.0</v>
      </c>
      <c r="F34" s="5" t="str">
        <f t="shared" si="1"/>
        <v>Audit</v>
      </c>
      <c r="G34" s="5" t="str">
        <f t="shared" si="2"/>
        <v>OK</v>
      </c>
    </row>
    <row r="35">
      <c r="A35" s="3" t="s">
        <v>228</v>
      </c>
      <c r="B35" s="3" t="s">
        <v>35</v>
      </c>
      <c r="C35" s="3" t="s">
        <v>32</v>
      </c>
      <c r="D35" s="3">
        <v>88000.0</v>
      </c>
      <c r="E35" s="4">
        <v>44812.0</v>
      </c>
      <c r="F35" s="5" t="str">
        <f t="shared" si="1"/>
        <v>Tax</v>
      </c>
      <c r="G35" s="5" t="str">
        <f t="shared" si="2"/>
        <v>OK</v>
      </c>
    </row>
    <row r="36">
      <c r="A36" s="3" t="s">
        <v>232</v>
      </c>
      <c r="B36" s="3" t="s">
        <v>43</v>
      </c>
      <c r="C36" s="3" t="s">
        <v>32</v>
      </c>
      <c r="D36" s="3">
        <v>107000.0</v>
      </c>
      <c r="E36" s="4">
        <v>45164.0</v>
      </c>
      <c r="F36" s="5" t="str">
        <f t="shared" si="1"/>
        <v>Consulting</v>
      </c>
      <c r="G36" s="5" t="str">
        <f t="shared" si="2"/>
        <v>OK</v>
      </c>
    </row>
    <row r="37">
      <c r="A37" s="3" t="s">
        <v>235</v>
      </c>
      <c r="B37" s="3" t="s">
        <v>50</v>
      </c>
      <c r="C37" s="3" t="s">
        <v>108</v>
      </c>
      <c r="D37" s="3">
        <v>64000.0</v>
      </c>
      <c r="E37" s="4">
        <v>45169.0</v>
      </c>
      <c r="F37" s="5" t="str">
        <f t="shared" si="1"/>
        <v>Risk Advisory</v>
      </c>
      <c r="G37" s="5" t="str">
        <f t="shared" si="2"/>
        <v>OK</v>
      </c>
    </row>
    <row r="38">
      <c r="A38" s="3" t="s">
        <v>237</v>
      </c>
      <c r="B38" s="3" t="s">
        <v>25</v>
      </c>
      <c r="C38" s="3" t="s">
        <v>108</v>
      </c>
      <c r="D38" s="3">
        <v>59000.0</v>
      </c>
      <c r="E38" s="4">
        <v>45107.0</v>
      </c>
      <c r="F38" s="5" t="str">
        <f t="shared" si="1"/>
        <v>Audit</v>
      </c>
      <c r="G38" s="5" t="str">
        <f t="shared" si="2"/>
        <v>OK</v>
      </c>
    </row>
    <row r="39">
      <c r="A39" s="3" t="s">
        <v>240</v>
      </c>
      <c r="B39" s="3" t="s">
        <v>35</v>
      </c>
      <c r="C39" s="3" t="s">
        <v>32</v>
      </c>
      <c r="D39" s="3">
        <v>93000.0</v>
      </c>
      <c r="E39" s="4">
        <v>45970.0</v>
      </c>
      <c r="F39" s="5" t="str">
        <f t="shared" si="1"/>
        <v>Tax</v>
      </c>
      <c r="G39" s="5" t="str">
        <f t="shared" si="2"/>
        <v>OK</v>
      </c>
    </row>
    <row r="40">
      <c r="A40" s="3" t="s">
        <v>244</v>
      </c>
      <c r="B40" s="3" t="s">
        <v>43</v>
      </c>
      <c r="C40" s="3" t="s">
        <v>32</v>
      </c>
      <c r="D40" s="3">
        <v>86000.0</v>
      </c>
      <c r="E40" s="4">
        <v>44587.0</v>
      </c>
      <c r="F40" s="5" t="str">
        <f t="shared" si="1"/>
        <v>Consulting</v>
      </c>
      <c r="G40" s="5" t="str">
        <f t="shared" si="2"/>
        <v>OK</v>
      </c>
    </row>
    <row r="41">
      <c r="A41" s="3" t="s">
        <v>247</v>
      </c>
      <c r="B41" s="3" t="s">
        <v>50</v>
      </c>
      <c r="C41" s="3" t="s">
        <v>146</v>
      </c>
      <c r="D41" s="3">
        <v>148000.0</v>
      </c>
      <c r="E41" s="4">
        <v>44216.0</v>
      </c>
      <c r="F41" s="5" t="str">
        <f t="shared" si="1"/>
        <v>Risk Advisory</v>
      </c>
      <c r="G41" s="5" t="str">
        <f t="shared" si="2"/>
        <v>OK</v>
      </c>
    </row>
    <row r="42">
      <c r="A42" s="3" t="s">
        <v>250</v>
      </c>
      <c r="B42" s="3" t="s">
        <v>25</v>
      </c>
      <c r="C42" s="3" t="s">
        <v>184</v>
      </c>
      <c r="D42" s="3">
        <v>686000.0</v>
      </c>
      <c r="E42" s="4">
        <v>45839.0</v>
      </c>
      <c r="F42" s="5" t="str">
        <f t="shared" si="1"/>
        <v>Audit</v>
      </c>
      <c r="G42" s="5" t="str">
        <f t="shared" si="2"/>
        <v>OK</v>
      </c>
    </row>
    <row r="43">
      <c r="A43" s="3" t="s">
        <v>253</v>
      </c>
      <c r="B43" s="3" t="s">
        <v>35</v>
      </c>
      <c r="C43" s="3" t="s">
        <v>146</v>
      </c>
      <c r="D43" s="3">
        <v>158000.0</v>
      </c>
      <c r="E43" s="4">
        <v>44755.0</v>
      </c>
      <c r="F43" s="5" t="str">
        <f t="shared" si="1"/>
        <v>Tax</v>
      </c>
      <c r="G43" s="5" t="str">
        <f t="shared" si="2"/>
        <v>OK</v>
      </c>
    </row>
    <row r="44">
      <c r="A44" s="3" t="s">
        <v>256</v>
      </c>
      <c r="B44" s="3" t="s">
        <v>43</v>
      </c>
      <c r="C44" s="3" t="s">
        <v>146</v>
      </c>
      <c r="D44" s="3">
        <v>160000.0</v>
      </c>
      <c r="E44" s="4">
        <v>45149.0</v>
      </c>
      <c r="F44" s="5" t="str">
        <f t="shared" si="1"/>
        <v>Consulting</v>
      </c>
      <c r="G44" s="5" t="str">
        <f t="shared" si="2"/>
        <v>OK</v>
      </c>
    </row>
    <row r="45">
      <c r="A45" s="3" t="s">
        <v>259</v>
      </c>
      <c r="B45" s="3" t="s">
        <v>50</v>
      </c>
      <c r="C45" s="3" t="s">
        <v>88</v>
      </c>
      <c r="D45" s="3">
        <v>195000.0</v>
      </c>
      <c r="E45" s="4">
        <v>45577.0</v>
      </c>
      <c r="F45" s="5" t="str">
        <f t="shared" si="1"/>
        <v>Risk Advisory</v>
      </c>
      <c r="G45" s="5" t="str">
        <f t="shared" si="2"/>
        <v>OK</v>
      </c>
    </row>
    <row r="46">
      <c r="A46" s="3" t="s">
        <v>261</v>
      </c>
      <c r="B46" s="3" t="s">
        <v>25</v>
      </c>
      <c r="C46" s="3" t="s">
        <v>146</v>
      </c>
      <c r="D46" s="3">
        <v>141000.0</v>
      </c>
      <c r="E46" s="4">
        <v>45220.0</v>
      </c>
      <c r="F46" s="5" t="str">
        <f t="shared" si="1"/>
        <v>Audit</v>
      </c>
      <c r="G46" s="5" t="str">
        <f t="shared" si="2"/>
        <v>OK</v>
      </c>
    </row>
    <row r="47">
      <c r="A47" s="3" t="s">
        <v>265</v>
      </c>
      <c r="B47" s="3" t="s">
        <v>35</v>
      </c>
      <c r="C47" s="3" t="s">
        <v>146</v>
      </c>
      <c r="D47" s="3">
        <v>160000.0</v>
      </c>
      <c r="E47" s="4">
        <v>44959.0</v>
      </c>
      <c r="F47" s="5" t="str">
        <f t="shared" si="1"/>
        <v>Tax</v>
      </c>
      <c r="G47" s="5" t="str">
        <f t="shared" si="2"/>
        <v>OK</v>
      </c>
    </row>
    <row r="48">
      <c r="A48" s="3" t="s">
        <v>268</v>
      </c>
      <c r="B48" s="3" t="s">
        <v>43</v>
      </c>
      <c r="C48" s="3" t="s">
        <v>184</v>
      </c>
      <c r="D48" s="3">
        <v>632000.0</v>
      </c>
      <c r="E48" s="4">
        <v>45683.0</v>
      </c>
      <c r="F48" s="5" t="str">
        <f t="shared" si="1"/>
        <v>Consulting</v>
      </c>
      <c r="G48" s="5" t="str">
        <f t="shared" si="2"/>
        <v>OK</v>
      </c>
    </row>
    <row r="49">
      <c r="A49" s="3" t="s">
        <v>270</v>
      </c>
      <c r="B49" s="3" t="s">
        <v>50</v>
      </c>
      <c r="C49" s="3" t="s">
        <v>146</v>
      </c>
      <c r="D49" s="3">
        <v>138000.0</v>
      </c>
      <c r="E49" s="4">
        <v>45447.0</v>
      </c>
      <c r="F49" s="5" t="str">
        <f t="shared" si="1"/>
        <v>Risk Advisory</v>
      </c>
      <c r="G49" s="5" t="str">
        <f t="shared" si="2"/>
        <v>OK</v>
      </c>
    </row>
    <row r="50">
      <c r="A50" s="3" t="s">
        <v>273</v>
      </c>
      <c r="B50" s="3" t="s">
        <v>25</v>
      </c>
      <c r="C50" s="3" t="s">
        <v>108</v>
      </c>
      <c r="D50" s="3">
        <v>59000.0</v>
      </c>
      <c r="E50" s="4">
        <v>44838.0</v>
      </c>
      <c r="F50" s="5" t="str">
        <f t="shared" si="1"/>
        <v>Audit</v>
      </c>
      <c r="G50" s="5" t="str">
        <f t="shared" si="2"/>
        <v>OK</v>
      </c>
    </row>
    <row r="51">
      <c r="A51" s="3" t="s">
        <v>276</v>
      </c>
      <c r="B51" s="3" t="s">
        <v>35</v>
      </c>
      <c r="C51" s="3" t="s">
        <v>32</v>
      </c>
      <c r="D51" s="3">
        <v>109000.0</v>
      </c>
      <c r="E51" s="4">
        <v>45564.0</v>
      </c>
      <c r="F51" s="5" t="str">
        <f t="shared" si="1"/>
        <v>Tax</v>
      </c>
      <c r="G51" s="5" t="str">
        <f t="shared" si="2"/>
        <v>OK</v>
      </c>
    </row>
    <row r="52">
      <c r="A52" s="3" t="s">
        <v>279</v>
      </c>
      <c r="B52" s="3" t="s">
        <v>43</v>
      </c>
      <c r="C52" s="3" t="s">
        <v>32</v>
      </c>
      <c r="D52" s="3">
        <v>109000.0</v>
      </c>
      <c r="E52" s="4">
        <v>44119.0</v>
      </c>
      <c r="F52" s="5" t="str">
        <f t="shared" si="1"/>
        <v>Consulting</v>
      </c>
      <c r="G52" s="5" t="str">
        <f t="shared" si="2"/>
        <v>OK</v>
      </c>
    </row>
    <row r="53">
      <c r="A53" s="3" t="s">
        <v>281</v>
      </c>
      <c r="B53" s="3" t="s">
        <v>50</v>
      </c>
      <c r="C53" s="3" t="s">
        <v>146</v>
      </c>
      <c r="D53" s="3">
        <v>129000.0</v>
      </c>
      <c r="E53" s="4">
        <v>44577.0</v>
      </c>
      <c r="F53" s="5" t="str">
        <f t="shared" si="1"/>
        <v>Risk Advisory</v>
      </c>
      <c r="G53" s="5" t="str">
        <f t="shared" si="2"/>
        <v>OK</v>
      </c>
    </row>
    <row r="54">
      <c r="A54" s="3" t="s">
        <v>283</v>
      </c>
      <c r="B54" s="3" t="s">
        <v>25</v>
      </c>
      <c r="C54" s="3" t="s">
        <v>32</v>
      </c>
      <c r="D54" s="3">
        <v>105000.0</v>
      </c>
      <c r="E54" s="4">
        <v>44184.0</v>
      </c>
      <c r="F54" s="5" t="str">
        <f t="shared" si="1"/>
        <v>Audit</v>
      </c>
      <c r="G54" s="5" t="str">
        <f t="shared" si="2"/>
        <v>OK</v>
      </c>
    </row>
    <row r="55">
      <c r="A55" s="3" t="s">
        <v>286</v>
      </c>
      <c r="B55" s="3" t="s">
        <v>35</v>
      </c>
      <c r="C55" s="3" t="s">
        <v>88</v>
      </c>
      <c r="D55" s="3">
        <v>191000.0</v>
      </c>
      <c r="E55" s="4">
        <v>45962.0</v>
      </c>
      <c r="F55" s="5" t="str">
        <f t="shared" si="1"/>
        <v>Tax</v>
      </c>
      <c r="G55" s="5" t="str">
        <f t="shared" si="2"/>
        <v>OK</v>
      </c>
    </row>
    <row r="56">
      <c r="A56" s="3" t="s">
        <v>289</v>
      </c>
      <c r="B56" s="3" t="s">
        <v>43</v>
      </c>
      <c r="C56" s="3" t="s">
        <v>32</v>
      </c>
      <c r="D56" s="3">
        <v>87000.0</v>
      </c>
      <c r="E56" s="4">
        <v>44462.0</v>
      </c>
      <c r="F56" s="5" t="str">
        <f t="shared" si="1"/>
        <v>Consulting</v>
      </c>
      <c r="G56" s="5" t="str">
        <f t="shared" si="2"/>
        <v>OK</v>
      </c>
    </row>
    <row r="57">
      <c r="A57" s="3" t="s">
        <v>291</v>
      </c>
      <c r="B57" s="3" t="s">
        <v>50</v>
      </c>
      <c r="C57" s="3" t="s">
        <v>146</v>
      </c>
      <c r="D57" s="3">
        <v>151000.0</v>
      </c>
      <c r="E57" s="4">
        <v>43761.0</v>
      </c>
      <c r="F57" s="5" t="str">
        <f t="shared" si="1"/>
        <v>Risk Advisory</v>
      </c>
      <c r="G57" s="5" t="str">
        <f t="shared" si="2"/>
        <v>OK</v>
      </c>
    </row>
    <row r="58">
      <c r="A58" s="3" t="s">
        <v>294</v>
      </c>
      <c r="B58" s="3" t="s">
        <v>25</v>
      </c>
      <c r="C58" s="3" t="s">
        <v>146</v>
      </c>
      <c r="D58" s="3">
        <v>156000.0</v>
      </c>
      <c r="E58" s="4">
        <v>45463.0</v>
      </c>
      <c r="F58" s="5" t="str">
        <f t="shared" si="1"/>
        <v>Audit</v>
      </c>
      <c r="G58" s="5" t="str">
        <f t="shared" si="2"/>
        <v>OK</v>
      </c>
    </row>
    <row r="59">
      <c r="A59" s="3" t="s">
        <v>298</v>
      </c>
      <c r="B59" s="3" t="s">
        <v>35</v>
      </c>
      <c r="C59" s="3" t="s">
        <v>88</v>
      </c>
      <c r="D59" s="3">
        <v>192000.0</v>
      </c>
      <c r="E59" s="4">
        <v>45462.0</v>
      </c>
      <c r="F59" s="5" t="str">
        <f t="shared" si="1"/>
        <v>Tax</v>
      </c>
      <c r="G59" s="5" t="str">
        <f t="shared" si="2"/>
        <v>OK</v>
      </c>
    </row>
    <row r="60">
      <c r="A60" s="3" t="s">
        <v>300</v>
      </c>
      <c r="B60" s="3" t="s">
        <v>301</v>
      </c>
      <c r="C60" s="3" t="s">
        <v>108</v>
      </c>
      <c r="D60" s="3">
        <v>69000.0</v>
      </c>
      <c r="E60" s="4">
        <v>44096.0</v>
      </c>
      <c r="F60" s="5" t="str">
        <f t="shared" si="1"/>
        <v>Consulting</v>
      </c>
      <c r="G60" s="5" t="str">
        <f t="shared" si="2"/>
        <v>OK</v>
      </c>
    </row>
    <row r="61">
      <c r="A61" s="3" t="s">
        <v>304</v>
      </c>
      <c r="B61" s="3" t="s">
        <v>50</v>
      </c>
      <c r="C61" s="3" t="s">
        <v>108</v>
      </c>
      <c r="D61" s="3">
        <v>67000.0</v>
      </c>
      <c r="E61" s="4">
        <v>45782.0</v>
      </c>
      <c r="F61" s="5" t="str">
        <f t="shared" si="1"/>
        <v>Risk Advisory</v>
      </c>
      <c r="G61" s="5" t="str">
        <f t="shared" si="2"/>
        <v>OK</v>
      </c>
    </row>
    <row r="62">
      <c r="A62" s="3" t="s">
        <v>306</v>
      </c>
      <c r="B62" s="3" t="s">
        <v>25</v>
      </c>
      <c r="C62" s="3" t="s">
        <v>146</v>
      </c>
      <c r="D62" s="3">
        <v>127000.0</v>
      </c>
      <c r="E62" s="4">
        <v>45517.0</v>
      </c>
      <c r="F62" s="5" t="str">
        <f t="shared" si="1"/>
        <v>Audit</v>
      </c>
      <c r="G62" s="5" t="str">
        <f t="shared" si="2"/>
        <v>OK</v>
      </c>
    </row>
    <row r="63">
      <c r="A63" s="3" t="s">
        <v>309</v>
      </c>
      <c r="B63" s="3" t="s">
        <v>35</v>
      </c>
      <c r="C63" s="3" t="s">
        <v>88</v>
      </c>
      <c r="D63" s="3">
        <v>224000.0</v>
      </c>
      <c r="E63" s="4">
        <v>44549.0</v>
      </c>
      <c r="F63" s="5" t="str">
        <f t="shared" si="1"/>
        <v>Tax</v>
      </c>
      <c r="G63" s="5" t="str">
        <f t="shared" si="2"/>
        <v>OK</v>
      </c>
    </row>
    <row r="64">
      <c r="A64" s="3" t="s">
        <v>312</v>
      </c>
      <c r="B64" s="3" t="s">
        <v>43</v>
      </c>
      <c r="C64" s="3" t="s">
        <v>108</v>
      </c>
      <c r="D64" s="3">
        <v>72000.0</v>
      </c>
      <c r="E64" s="4">
        <v>44881.0</v>
      </c>
      <c r="F64" s="5" t="str">
        <f t="shared" si="1"/>
        <v>Consulting</v>
      </c>
      <c r="G64" s="5" t="str">
        <f t="shared" si="2"/>
        <v>OK</v>
      </c>
    </row>
    <row r="65">
      <c r="A65" s="3" t="s">
        <v>315</v>
      </c>
      <c r="B65" s="3" t="s">
        <v>50</v>
      </c>
      <c r="C65" s="3" t="s">
        <v>88</v>
      </c>
      <c r="D65" s="3">
        <v>205000.0</v>
      </c>
      <c r="E65" s="4">
        <v>44405.0</v>
      </c>
      <c r="F65" s="5" t="str">
        <f t="shared" si="1"/>
        <v>Risk Advisory</v>
      </c>
      <c r="G65" s="5" t="str">
        <f t="shared" si="2"/>
        <v>OK</v>
      </c>
    </row>
    <row r="66">
      <c r="A66" s="3" t="s">
        <v>320</v>
      </c>
      <c r="B66" s="3" t="s">
        <v>25</v>
      </c>
      <c r="C66" s="3" t="s">
        <v>32</v>
      </c>
      <c r="D66" s="3">
        <v>95000.0</v>
      </c>
      <c r="E66" s="4">
        <v>43775.0</v>
      </c>
      <c r="F66" s="5" t="str">
        <f t="shared" si="1"/>
        <v>Audit</v>
      </c>
      <c r="G66" s="5" t="str">
        <f t="shared" si="2"/>
        <v>OK</v>
      </c>
    </row>
    <row r="67">
      <c r="A67" s="3" t="s">
        <v>322</v>
      </c>
      <c r="B67" s="3" t="s">
        <v>35</v>
      </c>
      <c r="C67" s="3" t="s">
        <v>88</v>
      </c>
      <c r="D67" s="3">
        <v>199000.0</v>
      </c>
      <c r="E67" s="4">
        <v>44208.0</v>
      </c>
      <c r="F67" s="5" t="str">
        <f t="shared" si="1"/>
        <v>Tax</v>
      </c>
      <c r="G67" s="5" t="str">
        <f t="shared" si="2"/>
        <v>OK</v>
      </c>
    </row>
    <row r="68">
      <c r="A68" s="3" t="s">
        <v>325</v>
      </c>
      <c r="B68" s="3" t="s">
        <v>43</v>
      </c>
      <c r="C68" s="3" t="s">
        <v>108</v>
      </c>
      <c r="D68" s="3">
        <v>64000.0</v>
      </c>
      <c r="E68" s="4">
        <v>44680.0</v>
      </c>
      <c r="F68" s="5" t="str">
        <f t="shared" si="1"/>
        <v>Consulting</v>
      </c>
      <c r="G68" s="5" t="str">
        <f t="shared" si="2"/>
        <v>OK</v>
      </c>
    </row>
    <row r="69">
      <c r="A69" s="3" t="s">
        <v>328</v>
      </c>
      <c r="B69" s="3" t="s">
        <v>50</v>
      </c>
      <c r="C69" s="3" t="s">
        <v>88</v>
      </c>
      <c r="D69" s="3">
        <v>241000.0</v>
      </c>
      <c r="E69" s="4">
        <v>45403.0</v>
      </c>
      <c r="F69" s="5" t="str">
        <f t="shared" si="1"/>
        <v>Risk Advisory</v>
      </c>
      <c r="G69" s="5" t="str">
        <f t="shared" si="2"/>
        <v>OK</v>
      </c>
    </row>
    <row r="70">
      <c r="A70" s="3" t="s">
        <v>330</v>
      </c>
      <c r="B70" s="3" t="s">
        <v>25</v>
      </c>
      <c r="C70" s="3" t="s">
        <v>108</v>
      </c>
      <c r="D70" s="3">
        <v>65000.0</v>
      </c>
      <c r="E70" s="4">
        <v>44908.0</v>
      </c>
      <c r="F70" s="5" t="str">
        <f t="shared" si="1"/>
        <v>Audit</v>
      </c>
      <c r="G70" s="5" t="str">
        <f t="shared" si="2"/>
        <v>OK</v>
      </c>
    </row>
    <row r="71">
      <c r="A71" s="3" t="s">
        <v>333</v>
      </c>
      <c r="B71" s="3" t="s">
        <v>35</v>
      </c>
      <c r="C71" s="3" t="s">
        <v>32</v>
      </c>
      <c r="D71" s="3">
        <v>109000.0</v>
      </c>
      <c r="E71" s="4">
        <v>43835.0</v>
      </c>
      <c r="F71" s="5" t="str">
        <f t="shared" si="1"/>
        <v>Tax</v>
      </c>
      <c r="G71" s="5" t="str">
        <f t="shared" si="2"/>
        <v>OK</v>
      </c>
    </row>
    <row r="72">
      <c r="A72" s="3" t="s">
        <v>336</v>
      </c>
      <c r="B72" s="3" t="s">
        <v>43</v>
      </c>
      <c r="C72" s="3" t="s">
        <v>146</v>
      </c>
      <c r="D72" s="3">
        <v>147000.0</v>
      </c>
      <c r="E72" s="4">
        <v>43628.0</v>
      </c>
      <c r="F72" s="5" t="str">
        <f t="shared" si="1"/>
        <v>Consulting</v>
      </c>
      <c r="G72" s="5" t="str">
        <f t="shared" si="2"/>
        <v>OK</v>
      </c>
    </row>
    <row r="73">
      <c r="A73" s="3" t="s">
        <v>340</v>
      </c>
      <c r="B73" s="3" t="s">
        <v>50</v>
      </c>
      <c r="C73" s="3" t="s">
        <v>88</v>
      </c>
      <c r="D73" s="3">
        <v>215000.0</v>
      </c>
      <c r="E73" s="4">
        <v>44525.0</v>
      </c>
      <c r="F73" s="5" t="str">
        <f t="shared" si="1"/>
        <v>Risk Advisory</v>
      </c>
      <c r="G73" s="5" t="str">
        <f t="shared" si="2"/>
        <v>OK</v>
      </c>
    </row>
    <row r="74">
      <c r="A74" s="3" t="s">
        <v>343</v>
      </c>
      <c r="B74" s="3" t="s">
        <v>25</v>
      </c>
      <c r="C74" s="3" t="s">
        <v>108</v>
      </c>
      <c r="D74" s="3">
        <v>64000.0</v>
      </c>
      <c r="E74" s="4">
        <v>43688.0</v>
      </c>
      <c r="F74" s="5" t="str">
        <f t="shared" si="1"/>
        <v>Audit</v>
      </c>
      <c r="G74" s="5" t="str">
        <f t="shared" si="2"/>
        <v>OK</v>
      </c>
    </row>
    <row r="75">
      <c r="A75" s="3" t="s">
        <v>346</v>
      </c>
      <c r="B75" s="3" t="s">
        <v>35</v>
      </c>
      <c r="C75" s="3" t="s">
        <v>108</v>
      </c>
      <c r="D75" s="3">
        <v>59000.0</v>
      </c>
      <c r="E75" s="4">
        <v>43647.0</v>
      </c>
      <c r="F75" s="5" t="str">
        <f t="shared" si="1"/>
        <v>Tax</v>
      </c>
      <c r="G75" s="5" t="str">
        <f t="shared" si="2"/>
        <v>OK</v>
      </c>
    </row>
    <row r="76">
      <c r="A76" s="3" t="s">
        <v>348</v>
      </c>
      <c r="B76" s="3" t="s">
        <v>43</v>
      </c>
      <c r="C76" s="3" t="s">
        <v>32</v>
      </c>
      <c r="D76" s="3">
        <v>101000.0</v>
      </c>
      <c r="E76" s="4">
        <v>45843.0</v>
      </c>
      <c r="F76" s="5" t="str">
        <f t="shared" si="1"/>
        <v>Consulting</v>
      </c>
      <c r="G76" s="5" t="str">
        <f t="shared" si="2"/>
        <v>OK</v>
      </c>
    </row>
    <row r="77">
      <c r="A77" s="3" t="s">
        <v>352</v>
      </c>
      <c r="B77" s="3" t="s">
        <v>50</v>
      </c>
      <c r="C77" s="3" t="s">
        <v>32</v>
      </c>
      <c r="D77" s="3">
        <v>108000.0</v>
      </c>
      <c r="E77" s="4">
        <v>44392.0</v>
      </c>
      <c r="F77" s="5" t="str">
        <f t="shared" si="1"/>
        <v>Risk Advisory</v>
      </c>
      <c r="G77" s="5" t="str">
        <f t="shared" si="2"/>
        <v>OK</v>
      </c>
    </row>
    <row r="78">
      <c r="A78" s="3" t="s">
        <v>355</v>
      </c>
      <c r="B78" s="3" t="s">
        <v>25</v>
      </c>
      <c r="C78" s="3" t="s">
        <v>146</v>
      </c>
      <c r="D78" s="3">
        <v>145000.0</v>
      </c>
      <c r="E78" s="4">
        <v>46113.0</v>
      </c>
      <c r="F78" s="5" t="str">
        <f t="shared" si="1"/>
        <v>Audit</v>
      </c>
      <c r="G78" s="5" t="str">
        <f t="shared" si="2"/>
        <v>OK</v>
      </c>
    </row>
    <row r="79">
      <c r="A79" s="3" t="s">
        <v>357</v>
      </c>
      <c r="B79" s="3" t="s">
        <v>35</v>
      </c>
      <c r="C79" s="3" t="s">
        <v>88</v>
      </c>
      <c r="D79" s="3">
        <v>201000.0</v>
      </c>
      <c r="E79" s="4">
        <v>44234.0</v>
      </c>
      <c r="F79" s="5" t="str">
        <f t="shared" si="1"/>
        <v>Tax</v>
      </c>
      <c r="G79" s="5" t="str">
        <f t="shared" si="2"/>
        <v>OK</v>
      </c>
    </row>
    <row r="80">
      <c r="A80" s="3" t="s">
        <v>361</v>
      </c>
      <c r="B80" s="3" t="s">
        <v>43</v>
      </c>
      <c r="C80" s="3" t="s">
        <v>32</v>
      </c>
      <c r="D80" s="3">
        <v>107000.0</v>
      </c>
      <c r="E80" s="4">
        <v>44292.0</v>
      </c>
      <c r="F80" s="5" t="str">
        <f t="shared" si="1"/>
        <v>Consulting</v>
      </c>
      <c r="G80" s="5" t="str">
        <f t="shared" si="2"/>
        <v>OK</v>
      </c>
    </row>
    <row r="81">
      <c r="A81" s="3" t="s">
        <v>364</v>
      </c>
      <c r="B81" s="3" t="s">
        <v>50</v>
      </c>
      <c r="C81" s="3" t="s">
        <v>146</v>
      </c>
      <c r="D81" s="3">
        <v>147000.0</v>
      </c>
      <c r="E81" s="4">
        <v>44895.0</v>
      </c>
      <c r="F81" s="5" t="str">
        <f t="shared" si="1"/>
        <v>Risk Advisory</v>
      </c>
      <c r="G81" s="5" t="str">
        <f t="shared" si="2"/>
        <v>OK</v>
      </c>
    </row>
    <row r="82">
      <c r="A82" s="3" t="s">
        <v>367</v>
      </c>
      <c r="B82" s="3" t="s">
        <v>25</v>
      </c>
      <c r="C82" s="3" t="s">
        <v>146</v>
      </c>
      <c r="D82" s="3">
        <v>136000.0</v>
      </c>
      <c r="E82" s="4">
        <v>45773.0</v>
      </c>
      <c r="F82" s="5" t="str">
        <f t="shared" si="1"/>
        <v>Audit</v>
      </c>
      <c r="G82" s="5" t="str">
        <f t="shared" si="2"/>
        <v>OK</v>
      </c>
    </row>
    <row r="83">
      <c r="A83" s="3" t="s">
        <v>369</v>
      </c>
      <c r="B83" s="3" t="s">
        <v>35</v>
      </c>
      <c r="C83" s="3" t="s">
        <v>32</v>
      </c>
      <c r="D83" s="3">
        <v>89000.0</v>
      </c>
      <c r="E83" s="4">
        <v>44117.0</v>
      </c>
      <c r="F83" s="5" t="str">
        <f t="shared" si="1"/>
        <v>Tax</v>
      </c>
      <c r="G83" s="5" t="str">
        <f t="shared" si="2"/>
        <v>OK</v>
      </c>
    </row>
    <row r="84">
      <c r="A84" s="3" t="s">
        <v>373</v>
      </c>
      <c r="B84" s="3" t="s">
        <v>43</v>
      </c>
      <c r="C84" s="3" t="s">
        <v>88</v>
      </c>
      <c r="D84" s="3">
        <v>204000.0</v>
      </c>
      <c r="E84" s="4">
        <v>43629.0</v>
      </c>
      <c r="F84" s="5" t="str">
        <f t="shared" si="1"/>
        <v>Consulting</v>
      </c>
      <c r="G84" s="5" t="str">
        <f t="shared" si="2"/>
        <v>OK</v>
      </c>
    </row>
    <row r="85">
      <c r="A85" s="3" t="s">
        <v>376</v>
      </c>
      <c r="B85" s="3" t="s">
        <v>50</v>
      </c>
      <c r="C85" s="3" t="s">
        <v>146</v>
      </c>
      <c r="D85" s="3">
        <v>153000.0</v>
      </c>
      <c r="E85" s="4">
        <v>44982.0</v>
      </c>
      <c r="F85" s="5" t="str">
        <f t="shared" si="1"/>
        <v>Risk Advisory</v>
      </c>
      <c r="G85" s="5" t="str">
        <f t="shared" si="2"/>
        <v>OK</v>
      </c>
    </row>
    <row r="86">
      <c r="A86" s="3" t="s">
        <v>379</v>
      </c>
      <c r="B86" s="3" t="s">
        <v>25</v>
      </c>
      <c r="C86" s="3" t="s">
        <v>32</v>
      </c>
      <c r="D86" s="3">
        <v>97000.0</v>
      </c>
      <c r="E86" s="4">
        <v>46030.0</v>
      </c>
      <c r="F86" s="5" t="str">
        <f t="shared" si="1"/>
        <v>Audit</v>
      </c>
      <c r="G86" s="5" t="str">
        <f t="shared" si="2"/>
        <v>OK</v>
      </c>
    </row>
    <row r="87">
      <c r="A87" s="3" t="s">
        <v>382</v>
      </c>
      <c r="B87" s="3" t="s">
        <v>35</v>
      </c>
      <c r="C87" s="3" t="s">
        <v>146</v>
      </c>
      <c r="D87" s="3">
        <v>155000.0</v>
      </c>
      <c r="E87" s="4">
        <v>46151.0</v>
      </c>
      <c r="F87" s="5" t="str">
        <f t="shared" si="1"/>
        <v>Tax</v>
      </c>
      <c r="G87" s="5" t="str">
        <f t="shared" si="2"/>
        <v>OK</v>
      </c>
    </row>
    <row r="88">
      <c r="A88" s="3" t="s">
        <v>385</v>
      </c>
      <c r="B88" s="3" t="s">
        <v>43</v>
      </c>
      <c r="C88" s="3" t="s">
        <v>88</v>
      </c>
      <c r="D88" s="3">
        <v>230000.0</v>
      </c>
      <c r="E88" s="4">
        <v>44735.0</v>
      </c>
      <c r="F88" s="5" t="str">
        <f t="shared" si="1"/>
        <v>Consulting</v>
      </c>
      <c r="G88" s="5" t="str">
        <f t="shared" si="2"/>
        <v>OK</v>
      </c>
    </row>
    <row r="89">
      <c r="A89" s="3" t="s">
        <v>387</v>
      </c>
      <c r="B89" s="3" t="s">
        <v>50</v>
      </c>
      <c r="C89" s="3" t="s">
        <v>32</v>
      </c>
      <c r="D89" s="3">
        <v>88000.0</v>
      </c>
      <c r="E89" s="4">
        <v>43965.0</v>
      </c>
      <c r="F89" s="5" t="str">
        <f t="shared" si="1"/>
        <v>Risk Advisory</v>
      </c>
      <c r="G89" s="5" t="str">
        <f t="shared" si="2"/>
        <v>OK</v>
      </c>
    </row>
    <row r="90">
      <c r="A90" s="3" t="s">
        <v>390</v>
      </c>
      <c r="B90" s="3" t="s">
        <v>25</v>
      </c>
      <c r="C90" s="3" t="s">
        <v>146</v>
      </c>
      <c r="D90" s="3">
        <v>159000.0</v>
      </c>
      <c r="E90" s="4">
        <v>45570.0</v>
      </c>
      <c r="F90" s="5" t="str">
        <f t="shared" si="1"/>
        <v>Audit</v>
      </c>
      <c r="G90" s="5" t="str">
        <f t="shared" si="2"/>
        <v>OK</v>
      </c>
    </row>
    <row r="91">
      <c r="A91" s="3" t="s">
        <v>394</v>
      </c>
      <c r="B91" s="3" t="s">
        <v>35</v>
      </c>
      <c r="C91" s="3" t="s">
        <v>32</v>
      </c>
      <c r="D91" s="3">
        <v>86000.0</v>
      </c>
      <c r="E91" s="4">
        <v>44850.0</v>
      </c>
      <c r="F91" s="5" t="str">
        <f t="shared" si="1"/>
        <v>Tax</v>
      </c>
      <c r="G91" s="5" t="str">
        <f t="shared" si="2"/>
        <v>OK</v>
      </c>
    </row>
    <row r="92">
      <c r="A92" s="3" t="s">
        <v>397</v>
      </c>
      <c r="B92" s="3" t="s">
        <v>43</v>
      </c>
      <c r="C92" s="3" t="s">
        <v>152</v>
      </c>
      <c r="D92" s="3">
        <v>352000.0</v>
      </c>
      <c r="E92" s="4">
        <v>44258.0</v>
      </c>
      <c r="F92" s="5" t="str">
        <f t="shared" si="1"/>
        <v>Consulting</v>
      </c>
      <c r="G92" s="5" t="str">
        <f t="shared" si="2"/>
        <v>OK</v>
      </c>
    </row>
    <row r="93">
      <c r="A93" s="3" t="s">
        <v>400</v>
      </c>
      <c r="B93" s="3" t="s">
        <v>401</v>
      </c>
      <c r="C93" s="3" t="s">
        <v>108</v>
      </c>
      <c r="D93" s="3">
        <v>60000.0</v>
      </c>
      <c r="E93" s="4">
        <v>43576.0</v>
      </c>
      <c r="F93" s="5" t="str">
        <f t="shared" si="1"/>
        <v>Risk Advisory</v>
      </c>
      <c r="G93" s="5" t="str">
        <f t="shared" si="2"/>
        <v>OK</v>
      </c>
    </row>
    <row r="94">
      <c r="A94" s="3" t="s">
        <v>405</v>
      </c>
      <c r="B94" s="3" t="s">
        <v>25</v>
      </c>
      <c r="C94" s="3" t="s">
        <v>32</v>
      </c>
      <c r="D94" s="3">
        <v>98000.0</v>
      </c>
      <c r="E94" s="4">
        <v>45599.0</v>
      </c>
      <c r="F94" s="5" t="str">
        <f t="shared" si="1"/>
        <v>Audit</v>
      </c>
      <c r="G94" s="5" t="str">
        <f t="shared" si="2"/>
        <v>OK</v>
      </c>
    </row>
    <row r="95">
      <c r="A95" s="3" t="s">
        <v>407</v>
      </c>
      <c r="B95" s="3" t="s">
        <v>35</v>
      </c>
      <c r="C95" s="3" t="s">
        <v>108</v>
      </c>
      <c r="D95" s="3">
        <v>60000.0</v>
      </c>
      <c r="E95" s="4">
        <v>44309.0</v>
      </c>
      <c r="F95" s="5" t="str">
        <f t="shared" si="1"/>
        <v>Tax</v>
      </c>
      <c r="G95" s="5" t="str">
        <f t="shared" si="2"/>
        <v>OK</v>
      </c>
    </row>
    <row r="96">
      <c r="A96" s="3" t="s">
        <v>409</v>
      </c>
      <c r="B96" s="3" t="s">
        <v>43</v>
      </c>
      <c r="C96" s="3" t="s">
        <v>32</v>
      </c>
      <c r="D96" s="3">
        <v>87000.0</v>
      </c>
      <c r="E96" s="4">
        <v>45890.0</v>
      </c>
      <c r="F96" s="5" t="str">
        <f t="shared" si="1"/>
        <v>Consulting</v>
      </c>
      <c r="G96" s="5" t="str">
        <f t="shared" si="2"/>
        <v>OK</v>
      </c>
    </row>
    <row r="97">
      <c r="A97" s="3" t="s">
        <v>410</v>
      </c>
      <c r="B97" s="3" t="s">
        <v>50</v>
      </c>
      <c r="C97" s="3" t="s">
        <v>108</v>
      </c>
      <c r="D97" s="3">
        <v>63000.0</v>
      </c>
      <c r="E97" s="4">
        <v>45351.0</v>
      </c>
      <c r="F97" s="5" t="str">
        <f t="shared" si="1"/>
        <v>Risk Advisory</v>
      </c>
      <c r="G97" s="5" t="str">
        <f t="shared" si="2"/>
        <v>OK</v>
      </c>
    </row>
    <row r="98">
      <c r="A98" s="3" t="s">
        <v>412</v>
      </c>
      <c r="B98" s="3" t="s">
        <v>25</v>
      </c>
      <c r="C98" s="3" t="s">
        <v>32</v>
      </c>
      <c r="D98" s="3">
        <v>95000.0</v>
      </c>
      <c r="E98" s="4">
        <v>43875.0</v>
      </c>
      <c r="F98" s="5" t="str">
        <f t="shared" si="1"/>
        <v>Audit</v>
      </c>
      <c r="G98" s="5" t="str">
        <f t="shared" si="2"/>
        <v>OK</v>
      </c>
    </row>
    <row r="99">
      <c r="A99" s="3" t="s">
        <v>413</v>
      </c>
      <c r="B99" s="3" t="s">
        <v>35</v>
      </c>
      <c r="C99" s="3" t="s">
        <v>108</v>
      </c>
      <c r="D99" s="3">
        <v>73000.0</v>
      </c>
      <c r="E99" s="4">
        <v>43470.0</v>
      </c>
      <c r="F99" s="5" t="str">
        <f t="shared" si="1"/>
        <v>Tax</v>
      </c>
      <c r="G99" s="5" t="str">
        <f t="shared" si="2"/>
        <v>OK</v>
      </c>
    </row>
    <row r="100">
      <c r="A100" s="3" t="s">
        <v>414</v>
      </c>
      <c r="B100" s="3" t="s">
        <v>43</v>
      </c>
      <c r="C100" s="3" t="s">
        <v>108</v>
      </c>
      <c r="D100" s="3">
        <v>67000.0</v>
      </c>
      <c r="E100" s="4">
        <v>44208.0</v>
      </c>
      <c r="F100" s="5" t="str">
        <f t="shared" si="1"/>
        <v>Consulting</v>
      </c>
      <c r="G100" s="5" t="str">
        <f t="shared" si="2"/>
        <v>OK</v>
      </c>
    </row>
    <row r="101">
      <c r="A101" s="3" t="s">
        <v>415</v>
      </c>
      <c r="B101" s="3" t="s">
        <v>50</v>
      </c>
      <c r="C101" s="3" t="s">
        <v>32</v>
      </c>
      <c r="D101" s="3">
        <v>96000.0</v>
      </c>
      <c r="E101" s="4">
        <v>44787.0</v>
      </c>
      <c r="F101" s="5" t="str">
        <f t="shared" si="1"/>
        <v>Risk Advisory</v>
      </c>
      <c r="G101" s="5" t="str">
        <f t="shared" si="2"/>
        <v>OK</v>
      </c>
    </row>
    <row r="102">
      <c r="A102" s="3" t="s">
        <v>417</v>
      </c>
      <c r="B102" s="3" t="s">
        <v>25</v>
      </c>
      <c r="C102" s="3" t="s">
        <v>146</v>
      </c>
      <c r="D102" s="3">
        <v>155000.0</v>
      </c>
      <c r="E102" s="4">
        <v>44896.0</v>
      </c>
      <c r="F102" s="5" t="str">
        <f t="shared" si="1"/>
        <v>Audit</v>
      </c>
      <c r="G102" s="5" t="str">
        <f t="shared" si="2"/>
        <v>OK</v>
      </c>
    </row>
    <row r="103">
      <c r="A103" s="3" t="s">
        <v>418</v>
      </c>
      <c r="B103" s="3" t="s">
        <v>35</v>
      </c>
      <c r="C103" s="3" t="s">
        <v>32</v>
      </c>
      <c r="D103" s="3">
        <v>91000.0</v>
      </c>
      <c r="E103" s="4">
        <v>44168.0</v>
      </c>
      <c r="F103" s="5" t="str">
        <f t="shared" si="1"/>
        <v>Tax</v>
      </c>
      <c r="G103" s="5" t="str">
        <f t="shared" si="2"/>
        <v>OK</v>
      </c>
    </row>
    <row r="104">
      <c r="A104" s="3" t="s">
        <v>419</v>
      </c>
      <c r="B104" s="3" t="s">
        <v>43</v>
      </c>
      <c r="C104" s="3" t="s">
        <v>32</v>
      </c>
      <c r="D104" s="3">
        <v>102000.0</v>
      </c>
      <c r="E104" s="4">
        <v>44366.0</v>
      </c>
      <c r="F104" s="5" t="str">
        <f t="shared" si="1"/>
        <v>Consulting</v>
      </c>
      <c r="G104" s="5" t="str">
        <f t="shared" si="2"/>
        <v>OK</v>
      </c>
    </row>
    <row r="105">
      <c r="A105" s="3" t="s">
        <v>420</v>
      </c>
      <c r="B105" s="3" t="s">
        <v>50</v>
      </c>
      <c r="C105" s="3" t="s">
        <v>32</v>
      </c>
      <c r="D105" s="3">
        <v>108000.0</v>
      </c>
      <c r="E105" s="4">
        <v>44082.0</v>
      </c>
      <c r="F105" s="5" t="str">
        <f t="shared" si="1"/>
        <v>Risk Advisory</v>
      </c>
      <c r="G105" s="5" t="str">
        <f t="shared" si="2"/>
        <v>OK</v>
      </c>
    </row>
    <row r="106">
      <c r="A106" s="3" t="s">
        <v>422</v>
      </c>
      <c r="B106" s="3" t="s">
        <v>25</v>
      </c>
      <c r="C106" s="3" t="s">
        <v>108</v>
      </c>
      <c r="D106" s="3">
        <v>66000.0</v>
      </c>
      <c r="E106" s="4">
        <v>45798.0</v>
      </c>
      <c r="F106" s="5" t="str">
        <f t="shared" si="1"/>
        <v>Audit</v>
      </c>
      <c r="G106" s="5" t="str">
        <f t="shared" si="2"/>
        <v>OK</v>
      </c>
    </row>
    <row r="107">
      <c r="A107" s="3" t="s">
        <v>423</v>
      </c>
      <c r="B107" s="3" t="s">
        <v>35</v>
      </c>
      <c r="C107" s="3" t="s">
        <v>108</v>
      </c>
      <c r="D107" s="3">
        <v>59000.0</v>
      </c>
      <c r="E107" s="4">
        <v>45387.0</v>
      </c>
      <c r="F107" s="5" t="str">
        <f t="shared" si="1"/>
        <v>Tax</v>
      </c>
      <c r="G107" s="5" t="str">
        <f t="shared" si="2"/>
        <v>OK</v>
      </c>
    </row>
    <row r="108">
      <c r="A108" s="3" t="s">
        <v>424</v>
      </c>
      <c r="B108" s="3" t="s">
        <v>43</v>
      </c>
      <c r="C108" s="3" t="s">
        <v>108</v>
      </c>
      <c r="D108" s="3">
        <v>73000.0</v>
      </c>
      <c r="E108" s="4">
        <v>43708.0</v>
      </c>
      <c r="F108" s="5" t="str">
        <f t="shared" si="1"/>
        <v>Consulting</v>
      </c>
      <c r="G108" s="5" t="str">
        <f t="shared" si="2"/>
        <v>OK</v>
      </c>
    </row>
    <row r="109">
      <c r="A109" s="3" t="s">
        <v>425</v>
      </c>
      <c r="B109" s="3" t="s">
        <v>50</v>
      </c>
      <c r="C109" s="3" t="s">
        <v>108</v>
      </c>
      <c r="D109" s="3">
        <v>59000.0</v>
      </c>
      <c r="E109" s="4">
        <v>43491.0</v>
      </c>
      <c r="F109" s="5" t="str">
        <f t="shared" si="1"/>
        <v>Risk Advisory</v>
      </c>
      <c r="G109" s="5" t="str">
        <f t="shared" si="2"/>
        <v>OK</v>
      </c>
    </row>
    <row r="110">
      <c r="A110" s="3" t="s">
        <v>427</v>
      </c>
      <c r="B110" s="3" t="s">
        <v>25</v>
      </c>
      <c r="C110" s="3" t="s">
        <v>108</v>
      </c>
      <c r="D110" s="3">
        <v>69000.0</v>
      </c>
      <c r="E110" s="4">
        <v>44749.0</v>
      </c>
      <c r="F110" s="5" t="str">
        <f t="shared" si="1"/>
        <v>Audit</v>
      </c>
      <c r="G110" s="5" t="str">
        <f t="shared" si="2"/>
        <v>OK</v>
      </c>
    </row>
    <row r="111">
      <c r="A111" s="3" t="s">
        <v>428</v>
      </c>
      <c r="B111" s="3" t="s">
        <v>35</v>
      </c>
      <c r="C111" s="3" t="s">
        <v>32</v>
      </c>
      <c r="D111" s="3">
        <v>100000.0</v>
      </c>
      <c r="E111" s="4">
        <v>44118.0</v>
      </c>
      <c r="F111" s="5" t="str">
        <f t="shared" si="1"/>
        <v>Tax</v>
      </c>
      <c r="G111" s="5" t="str">
        <f t="shared" si="2"/>
        <v>OK</v>
      </c>
    </row>
    <row r="112">
      <c r="A112" s="3" t="s">
        <v>429</v>
      </c>
      <c r="B112" s="3" t="s">
        <v>43</v>
      </c>
      <c r="C112" s="3" t="s">
        <v>88</v>
      </c>
      <c r="D112" s="3">
        <v>189000.0</v>
      </c>
      <c r="E112" s="4">
        <v>44223.0</v>
      </c>
      <c r="F112" s="5" t="str">
        <f t="shared" si="1"/>
        <v>Consulting</v>
      </c>
      <c r="G112" s="5" t="str">
        <f t="shared" si="2"/>
        <v>OK</v>
      </c>
    </row>
    <row r="113">
      <c r="A113" s="3" t="s">
        <v>431</v>
      </c>
      <c r="B113" s="3" t="s">
        <v>50</v>
      </c>
      <c r="C113" s="3" t="s">
        <v>146</v>
      </c>
      <c r="D113" s="3">
        <v>132000.0</v>
      </c>
      <c r="E113" s="4">
        <v>45770.0</v>
      </c>
      <c r="F113" s="5" t="str">
        <f t="shared" si="1"/>
        <v>Risk Advisory</v>
      </c>
      <c r="G113" s="5" t="str">
        <f t="shared" si="2"/>
        <v>OK</v>
      </c>
    </row>
    <row r="114">
      <c r="A114" s="3" t="s">
        <v>432</v>
      </c>
      <c r="B114" s="3" t="s">
        <v>25</v>
      </c>
      <c r="C114" s="3" t="s">
        <v>146</v>
      </c>
      <c r="D114" s="3">
        <v>156000.0</v>
      </c>
      <c r="E114" s="4">
        <v>44252.0</v>
      </c>
      <c r="F114" s="5" t="str">
        <f t="shared" si="1"/>
        <v>Audit</v>
      </c>
      <c r="G114" s="5" t="str">
        <f t="shared" si="2"/>
        <v>OK</v>
      </c>
    </row>
    <row r="115">
      <c r="A115" s="3" t="s">
        <v>433</v>
      </c>
      <c r="B115" s="3" t="s">
        <v>35</v>
      </c>
      <c r="C115" s="3" t="s">
        <v>88</v>
      </c>
      <c r="D115" s="3">
        <v>213000.0</v>
      </c>
      <c r="E115" s="4">
        <v>44152.0</v>
      </c>
      <c r="F115" s="5" t="str">
        <f t="shared" si="1"/>
        <v>Tax</v>
      </c>
      <c r="G115" s="5" t="str">
        <f t="shared" si="2"/>
        <v>OK</v>
      </c>
    </row>
    <row r="116">
      <c r="A116" s="3" t="s">
        <v>434</v>
      </c>
      <c r="B116" s="3" t="s">
        <v>43</v>
      </c>
      <c r="C116" s="3" t="s">
        <v>146</v>
      </c>
      <c r="D116" s="3">
        <v>160000.0</v>
      </c>
      <c r="E116" s="4">
        <v>43680.0</v>
      </c>
      <c r="F116" s="5" t="str">
        <f t="shared" si="1"/>
        <v>Consulting</v>
      </c>
      <c r="G116" s="5" t="str">
        <f t="shared" si="2"/>
        <v>OK</v>
      </c>
    </row>
    <row r="117">
      <c r="A117" s="3" t="s">
        <v>436</v>
      </c>
      <c r="B117" s="3" t="s">
        <v>50</v>
      </c>
      <c r="C117" s="3" t="s">
        <v>88</v>
      </c>
      <c r="D117" s="3">
        <v>206000.0</v>
      </c>
      <c r="E117" s="4">
        <v>44442.0</v>
      </c>
      <c r="F117" s="5" t="str">
        <f t="shared" si="1"/>
        <v>Risk Advisory</v>
      </c>
      <c r="G117" s="5" t="str">
        <f t="shared" si="2"/>
        <v>OK</v>
      </c>
    </row>
    <row r="118">
      <c r="A118" s="3" t="s">
        <v>437</v>
      </c>
      <c r="B118" s="3" t="s">
        <v>25</v>
      </c>
      <c r="C118" s="3" t="s">
        <v>146</v>
      </c>
      <c r="D118" s="3">
        <v>147000.0</v>
      </c>
      <c r="E118" s="4">
        <v>44266.0</v>
      </c>
      <c r="F118" s="5" t="str">
        <f t="shared" si="1"/>
        <v>Audit</v>
      </c>
      <c r="G118" s="5" t="str">
        <f t="shared" si="2"/>
        <v>OK</v>
      </c>
    </row>
    <row r="119">
      <c r="A119" s="3" t="s">
        <v>438</v>
      </c>
      <c r="B119" s="3" t="s">
        <v>35</v>
      </c>
      <c r="C119" s="3" t="s">
        <v>32</v>
      </c>
      <c r="D119" s="3">
        <v>93000.0</v>
      </c>
      <c r="E119" s="4">
        <v>44050.0</v>
      </c>
      <c r="F119" s="5" t="str">
        <f t="shared" si="1"/>
        <v>Tax</v>
      </c>
      <c r="G119" s="5" t="str">
        <f t="shared" si="2"/>
        <v>OK</v>
      </c>
    </row>
    <row r="120">
      <c r="A120" s="3" t="s">
        <v>439</v>
      </c>
      <c r="B120" s="3" t="s">
        <v>43</v>
      </c>
      <c r="C120" s="3" t="s">
        <v>108</v>
      </c>
      <c r="D120" s="3">
        <v>59000.0</v>
      </c>
      <c r="E120" s="4">
        <v>45452.0</v>
      </c>
      <c r="F120" s="5" t="str">
        <f t="shared" si="1"/>
        <v>Consulting</v>
      </c>
      <c r="G120" s="5" t="str">
        <f t="shared" si="2"/>
        <v>OK</v>
      </c>
    </row>
    <row r="121">
      <c r="A121" s="3" t="s">
        <v>441</v>
      </c>
      <c r="B121" s="3" t="s">
        <v>50</v>
      </c>
      <c r="C121" s="3" t="s">
        <v>108</v>
      </c>
      <c r="D121" s="3">
        <v>61000.0</v>
      </c>
      <c r="E121" s="4">
        <v>44401.0</v>
      </c>
      <c r="F121" s="5" t="str">
        <f t="shared" si="1"/>
        <v>Risk Advisory</v>
      </c>
      <c r="G121" s="5" t="str">
        <f t="shared" si="2"/>
        <v>OK</v>
      </c>
    </row>
    <row r="122">
      <c r="A122" s="3" t="s">
        <v>228</v>
      </c>
      <c r="B122" s="3" t="s">
        <v>35</v>
      </c>
      <c r="C122" s="3" t="s">
        <v>32</v>
      </c>
      <c r="D122" s="3">
        <v>88000.0</v>
      </c>
      <c r="E122" s="4">
        <v>44812.0</v>
      </c>
      <c r="F122" s="5" t="str">
        <f t="shared" si="1"/>
        <v>Tax</v>
      </c>
      <c r="G122" s="5" t="str">
        <f t="shared" si="2"/>
        <v>DUPLICATE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</cols>
  <sheetData>
    <row r="1">
      <c r="A1" s="1" t="s">
        <v>454</v>
      </c>
      <c r="B1" s="7">
        <v>46295.0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456</v>
      </c>
      <c r="B2" s="4">
        <v>46113.0</v>
      </c>
    </row>
    <row r="3">
      <c r="A3" s="3" t="s">
        <v>457</v>
      </c>
      <c r="B3" s="5">
        <f>B1-B2+1</f>
        <v>183</v>
      </c>
    </row>
    <row r="4">
      <c r="A4" s="3" t="s">
        <v>459</v>
      </c>
      <c r="B4" s="3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4.5"/>
    <col customWidth="1" min="6" max="6" width="21.75"/>
    <col customWidth="1" min="7" max="26" width="14.5"/>
  </cols>
  <sheetData>
    <row r="1">
      <c r="A1" s="1" t="s">
        <v>3</v>
      </c>
      <c r="B1" s="1" t="s">
        <v>1</v>
      </c>
      <c r="C1" s="1" t="s">
        <v>6</v>
      </c>
      <c r="D1" s="1" t="s">
        <v>7</v>
      </c>
      <c r="E1" s="1" t="s">
        <v>473</v>
      </c>
      <c r="F1" s="1" t="s">
        <v>9</v>
      </c>
      <c r="G1" s="1" t="s">
        <v>10</v>
      </c>
      <c r="H1" s="1" t="s">
        <v>184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tr">
        <f>Invoices!A2</f>
        <v>INV-26-0153</v>
      </c>
      <c r="B2" s="8" t="str">
        <f>Invoices!B2</f>
        <v>ENG038</v>
      </c>
      <c r="C2" s="9">
        <f>Invoices!C2</f>
        <v>46146</v>
      </c>
      <c r="D2" s="9">
        <f>Invoices!D2</f>
        <v>46191</v>
      </c>
      <c r="E2" s="8">
        <f>IF(Invoices!E2="","",Invoices!E2)</f>
        <v>1103000</v>
      </c>
      <c r="F2" s="8" t="str">
        <f t="array" ref="F2">_xlfn.XLOOKUP(B2,Engagement_Master!$A:$A,Engagement_Master!$B:$B,"NOT FOUND")</f>
        <v>Nova Motors Ltd</v>
      </c>
      <c r="G2" s="8" t="str">
        <f t="array" ref="G2">_xlfn.XLOOKUP(B2,Engagement_Master!$A:$A,Engagement_Master!$C:$C,"NOT FOUND")</f>
        <v>Tax</v>
      </c>
      <c r="H2" s="8" t="str">
        <f t="array" ref="H2">_xlfn.XLOOKUP(B2,Engagement_Master!$A:$A,Engagement_Master!$D:$D,"NOT FOUND")</f>
        <v>Neha Kapoor</v>
      </c>
      <c r="I2" s="8">
        <f>SUMIFS(Collections!$D:$D,Collections!$B:$B,A2)</f>
        <v>580000</v>
      </c>
      <c r="J2" s="8">
        <f t="shared" ref="J2:J169" si="1">IF(E2="","",E2-I2)</f>
        <v>523000</v>
      </c>
      <c r="K2" s="8">
        <f>IF(J2="","",IF(J2&lt;=0,0,MAX(0,Control!$B$1-D2)))</f>
        <v>104</v>
      </c>
      <c r="L2" s="8" t="str">
        <f t="shared" ref="L2:L169" si="2">IF(J2="","",IF(J2&lt;=0,"Paid",IF(K2=0,"Not Due",IFS(K2&lt;=30,"0-30",K2&lt;=60,"31-60",K2&lt;=90,"61-90",TRUE,"90+"))))</f>
        <v>90+</v>
      </c>
      <c r="M2" s="5" t="str">
        <f t="shared" ref="M2:M169" si="3">TEXT(C2,"YYYY-MM")</f>
        <v>2026-05</v>
      </c>
    </row>
    <row r="3">
      <c r="A3" s="5" t="str">
        <f>Invoices!A3</f>
        <v>INV-26-0102</v>
      </c>
      <c r="B3" s="5" t="str">
        <f>Invoices!B3</f>
        <v>ENG026</v>
      </c>
      <c r="C3" s="6">
        <f>Invoices!C3</f>
        <v>46146</v>
      </c>
      <c r="D3" s="6">
        <f>Invoices!D3</f>
        <v>46206</v>
      </c>
      <c r="E3" s="5">
        <f>IF(Invoices!E3="","",Invoices!E3)</f>
        <v>984000</v>
      </c>
      <c r="F3" s="5" t="str">
        <f t="array" ref="F3">_xlfn.XLOOKUP(B3,Engagement_Master!$A:$A,Engagement_Master!$B:$B,"NOT FOUND")</f>
        <v>Banyan Pharma Pvt Ltd</v>
      </c>
      <c r="G3" s="5" t="str">
        <f t="array" ref="G3">_xlfn.XLOOKUP(B3,Engagement_Master!$A:$A,Engagement_Master!$C:$C,"NOT FOUND")</f>
        <v>Tax</v>
      </c>
      <c r="H3" s="5" t="str">
        <f t="array" ref="H3">_xlfn.XLOOKUP(B3,Engagement_Master!$A:$A,Engagement_Master!$D:$D,"NOT FOUND")</f>
        <v>Neha Kapoor</v>
      </c>
      <c r="I3" s="5">
        <f>SUMIFS(Collections!$D:$D,Collections!$B:$B,A3)</f>
        <v>1234000</v>
      </c>
      <c r="J3" s="5">
        <f t="shared" si="1"/>
        <v>-250000</v>
      </c>
      <c r="K3" s="5">
        <f>IF(J3="","",IF(J3&lt;=0,0,MAX(0,Control!$B$1-D3)))</f>
        <v>0</v>
      </c>
      <c r="L3" s="5" t="str">
        <f t="shared" si="2"/>
        <v>Paid</v>
      </c>
      <c r="M3" s="5" t="str">
        <f t="shared" si="3"/>
        <v>2026-05</v>
      </c>
    </row>
    <row r="4">
      <c r="A4" s="5" t="str">
        <f>Invoices!A4</f>
        <v>INV-26-0119</v>
      </c>
      <c r="B4" s="5" t="str">
        <f>Invoices!B4</f>
        <v>ENG030</v>
      </c>
      <c r="C4" s="6">
        <f>Invoices!C4</f>
        <v>46146</v>
      </c>
      <c r="D4" s="6">
        <f>Invoices!D4</f>
        <v>46176</v>
      </c>
      <c r="E4" s="5">
        <f>IF(Invoices!E4="","",Invoices!E4)</f>
        <v>1229000</v>
      </c>
      <c r="F4" s="5" t="str">
        <f t="array" ref="F4">_xlfn.XLOOKUP(B4,Engagement_Master!$A:$A,Engagement_Master!$B:$B,"NOT FOUND")</f>
        <v>Falcon Motors Ltd</v>
      </c>
      <c r="G4" s="5" t="str">
        <f t="array" ref="G4">_xlfn.XLOOKUP(B4,Engagement_Master!$A:$A,Engagement_Master!$C:$C,"NOT FOUND")</f>
        <v>Tax</v>
      </c>
      <c r="H4" s="5" t="str">
        <f t="array" ref="H4">_xlfn.XLOOKUP(B4,Engagement_Master!$A:$A,Engagement_Master!$D:$D,"NOT FOUND")</f>
        <v>Neha Kapoor</v>
      </c>
      <c r="I4" s="5">
        <f>SUMIFS(Collections!$D:$D,Collections!$B:$B,A4)</f>
        <v>1229000</v>
      </c>
      <c r="J4" s="5">
        <f t="shared" si="1"/>
        <v>0</v>
      </c>
      <c r="K4" s="5">
        <f>IF(J4="","",IF(J4&lt;=0,0,MAX(0,Control!$B$1-D4)))</f>
        <v>0</v>
      </c>
      <c r="L4" s="5" t="str">
        <f t="shared" si="2"/>
        <v>Paid</v>
      </c>
      <c r="M4" s="5" t="str">
        <f t="shared" si="3"/>
        <v>2026-05</v>
      </c>
    </row>
    <row r="5">
      <c r="A5" s="5" t="str">
        <f>Invoices!A5</f>
        <v>INV-26-0111</v>
      </c>
      <c r="B5" s="5" t="str">
        <f>Invoices!B5</f>
        <v>ENG028</v>
      </c>
      <c r="C5" s="6">
        <f>Invoices!C5</f>
        <v>46147</v>
      </c>
      <c r="D5" s="6">
        <f>Invoices!D5</f>
        <v>46207</v>
      </c>
      <c r="E5" s="5">
        <f>IF(Invoices!E5="","",Invoices!E5)</f>
        <v>737000</v>
      </c>
      <c r="F5" s="5" t="str">
        <f t="array" ref="F5">_xlfn.XLOOKUP(B5,Engagement_Master!$A:$A,Engagement_Master!$B:$B,"NOT FOUND")</f>
        <v>Delta Retail Ltd</v>
      </c>
      <c r="G5" s="5" t="str">
        <f t="array" ref="G5">_xlfn.XLOOKUP(B5,Engagement_Master!$A:$A,Engagement_Master!$C:$C,"NOT FOUND")</f>
        <v>Risk Advisory</v>
      </c>
      <c r="H5" s="5" t="str">
        <f t="array" ref="H5">_xlfn.XLOOKUP(B5,Engagement_Master!$A:$A,Engagement_Master!$D:$D,"NOT FOUND")</f>
        <v>Meera Joshi</v>
      </c>
      <c r="I5" s="5">
        <f>SUMIFS(Collections!$D:$D,Collections!$B:$B,A5)</f>
        <v>339000</v>
      </c>
      <c r="J5" s="5">
        <f t="shared" si="1"/>
        <v>398000</v>
      </c>
      <c r="K5" s="5">
        <f>IF(J5="","",IF(J5&lt;=0,0,MAX(0,Control!$B$1-D5)))</f>
        <v>88</v>
      </c>
      <c r="L5" s="5" t="str">
        <f t="shared" si="2"/>
        <v>61-90</v>
      </c>
      <c r="M5" s="5" t="str">
        <f t="shared" si="3"/>
        <v>2026-05</v>
      </c>
    </row>
    <row r="6">
      <c r="A6" s="5" t="str">
        <f>Invoices!A6</f>
        <v>INV-26-0157</v>
      </c>
      <c r="B6" s="5" t="str">
        <f>Invoices!B6</f>
        <v>ENG039</v>
      </c>
      <c r="C6" s="6">
        <f>Invoices!C6</f>
        <v>46148</v>
      </c>
      <c r="D6" s="6">
        <f>Invoices!D6</f>
        <v>46208</v>
      </c>
      <c r="E6" s="5">
        <f>IF(Invoices!E6="","",Invoices!E6)</f>
        <v>739000</v>
      </c>
      <c r="F6" s="5" t="str">
        <f t="array" ref="F6">_xlfn.XLOOKUP(B6,Engagement_Master!$A:$A,Engagement_Master!$B:$B,"NOT FOUND")</f>
        <v>Opal Energy Ltd</v>
      </c>
      <c r="G6" s="5" t="str">
        <f t="array" ref="G6">_xlfn.XLOOKUP(B6,Engagement_Master!$A:$A,Engagement_Master!$C:$C,"NOT FOUND")</f>
        <v>Consulting</v>
      </c>
      <c r="H6" s="5" t="str">
        <f t="array" ref="H6">_xlfn.XLOOKUP(B6,Engagement_Master!$A:$A,Engagement_Master!$D:$D,"NOT FOUND")</f>
        <v>Vikram Iyer</v>
      </c>
      <c r="I6" s="5">
        <f>SUMIFS(Collections!$D:$D,Collections!$B:$B,A6)</f>
        <v>739000</v>
      </c>
      <c r="J6" s="5">
        <f t="shared" si="1"/>
        <v>0</v>
      </c>
      <c r="K6" s="5">
        <f>IF(J6="","",IF(J6&lt;=0,0,MAX(0,Control!$B$1-D6)))</f>
        <v>0</v>
      </c>
      <c r="L6" s="5" t="str">
        <f t="shared" si="2"/>
        <v>Paid</v>
      </c>
      <c r="M6" s="5" t="str">
        <f t="shared" si="3"/>
        <v>2026-05</v>
      </c>
    </row>
    <row r="7">
      <c r="A7" s="5" t="str">
        <f>Invoices!A7</f>
        <v>INV-26-0140</v>
      </c>
      <c r="B7" s="5" t="str">
        <f>Invoices!B7</f>
        <v>ENG035</v>
      </c>
      <c r="C7" s="6">
        <f>Invoices!C7</f>
        <v>46149</v>
      </c>
      <c r="D7" s="6">
        <f>Invoices!D7</f>
        <v>46209</v>
      </c>
      <c r="E7" s="5">
        <f>IF(Invoices!E7="","",Invoices!E7)</f>
        <v>228000</v>
      </c>
      <c r="F7" s="5" t="str">
        <f t="array" ref="F7">_xlfn.XLOOKUP(B7,Engagement_Master!$A:$A,Engagement_Master!$B:$B,"NOT FOUND")</f>
        <v>Krypton Finance Ltd</v>
      </c>
      <c r="G7" s="5" t="str">
        <f t="array" ref="G7">_xlfn.XLOOKUP(B7,Engagement_Master!$A:$A,Engagement_Master!$C:$C,"NOT FOUND")</f>
        <v>Consulting</v>
      </c>
      <c r="H7" s="5" t="str">
        <f t="array" ref="H7">_xlfn.XLOOKUP(B7,Engagement_Master!$A:$A,Engagement_Master!$D:$D,"NOT FOUND")</f>
        <v>Priya Nair</v>
      </c>
      <c r="I7" s="5">
        <f>SUMIFS(Collections!$D:$D,Collections!$B:$B,A7)</f>
        <v>0</v>
      </c>
      <c r="J7" s="5">
        <f t="shared" si="1"/>
        <v>228000</v>
      </c>
      <c r="K7" s="5">
        <f>IF(J7="","",IF(J7&lt;=0,0,MAX(0,Control!$B$1-D7)))</f>
        <v>86</v>
      </c>
      <c r="L7" s="5" t="str">
        <f t="shared" si="2"/>
        <v>61-90</v>
      </c>
      <c r="M7" s="5" t="str">
        <f t="shared" si="3"/>
        <v>2026-05</v>
      </c>
    </row>
    <row r="8">
      <c r="A8" s="5" t="str">
        <f>Invoices!A8</f>
        <v>INV-26-0162</v>
      </c>
      <c r="B8" s="5" t="str">
        <f>Invoices!B8</f>
        <v>ENG040</v>
      </c>
      <c r="C8" s="6">
        <f>Invoices!C8</f>
        <v>46149</v>
      </c>
      <c r="D8" s="6">
        <f>Invoices!D8</f>
        <v>46179</v>
      </c>
      <c r="E8" s="5">
        <f>IF(Invoices!E8="","",Invoices!E8)</f>
        <v>945000</v>
      </c>
      <c r="F8" s="5" t="str">
        <f t="array" ref="F8">_xlfn.XLOOKUP(B8,Engagement_Master!$A:$A,Engagement_Master!$B:$B,"NOT FOUND")</f>
        <v>Pioneer Foods Pvt Ltd</v>
      </c>
      <c r="G8" s="5" t="str">
        <f t="array" ref="G8">_xlfn.XLOOKUP(B8,Engagement_Master!$A:$A,Engagement_Master!$C:$C,"NOT FOUND")</f>
        <v>Risk Advisory</v>
      </c>
      <c r="H8" s="5" t="str">
        <f t="array" ref="H8">_xlfn.XLOOKUP(B8,Engagement_Master!$A:$A,Engagement_Master!$D:$D,"NOT FOUND")</f>
        <v>Sanjay Gupta</v>
      </c>
      <c r="I8" s="5">
        <f>SUMIFS(Collections!$D:$D,Collections!$B:$B,A8)</f>
        <v>945000</v>
      </c>
      <c r="J8" s="5">
        <f t="shared" si="1"/>
        <v>0</v>
      </c>
      <c r="K8" s="5">
        <f>IF(J8="","",IF(J8&lt;=0,0,MAX(0,Control!$B$1-D8)))</f>
        <v>0</v>
      </c>
      <c r="L8" s="5" t="str">
        <f t="shared" si="2"/>
        <v>Paid</v>
      </c>
      <c r="M8" s="5" t="str">
        <f t="shared" si="3"/>
        <v>2026-05</v>
      </c>
    </row>
    <row r="9">
      <c r="A9" s="5" t="str">
        <f>Invoices!A9</f>
        <v>INV-26-0070</v>
      </c>
      <c r="B9" s="5" t="str">
        <f>Invoices!B9</f>
        <v>ENG018</v>
      </c>
      <c r="C9" s="6">
        <f>Invoices!C9</f>
        <v>46149</v>
      </c>
      <c r="D9" s="6">
        <f>Invoices!D9</f>
        <v>46179</v>
      </c>
      <c r="E9" s="5">
        <f>IF(Invoices!E9="","",Invoices!E9)</f>
        <v>1394000</v>
      </c>
      <c r="F9" s="5" t="str">
        <f t="array" ref="F9">_xlfn.XLOOKUP(B9,Engagement_Master!$A:$A,Engagement_Master!$B:$B,"NOT FOUND")</f>
        <v>Redwood Pharma Pvt Ltd</v>
      </c>
      <c r="G9" s="5" t="str">
        <f t="array" ref="G9">_xlfn.XLOOKUP(B9,Engagement_Master!$A:$A,Engagement_Master!$C:$C,"NOT FOUND")</f>
        <v>Tax</v>
      </c>
      <c r="H9" s="5" t="str">
        <f t="array" ref="H9">_xlfn.XLOOKUP(B9,Engagement_Master!$A:$A,Engagement_Master!$D:$D,"NOT FOUND")</f>
        <v>Neha Kapoor</v>
      </c>
      <c r="I9" s="5">
        <f>SUMIFS(Collections!$D:$D,Collections!$B:$B,A9)</f>
        <v>1394000</v>
      </c>
      <c r="J9" s="5">
        <f t="shared" si="1"/>
        <v>0</v>
      </c>
      <c r="K9" s="5">
        <f>IF(J9="","",IF(J9&lt;=0,0,MAX(0,Control!$B$1-D9)))</f>
        <v>0</v>
      </c>
      <c r="L9" s="5" t="str">
        <f t="shared" si="2"/>
        <v>Paid</v>
      </c>
      <c r="M9" s="5" t="str">
        <f t="shared" si="3"/>
        <v>2026-05</v>
      </c>
    </row>
    <row r="10">
      <c r="A10" s="5" t="str">
        <f>Invoices!A10</f>
        <v>INV-26-0107</v>
      </c>
      <c r="B10" s="5" t="str">
        <f>Invoices!B10</f>
        <v>ENG027</v>
      </c>
      <c r="C10" s="6">
        <f>Invoices!C10</f>
        <v>46150</v>
      </c>
      <c r="D10" s="6">
        <f>Invoices!D10</f>
        <v>46180</v>
      </c>
      <c r="E10" s="5">
        <f>IF(Invoices!E10="","",Invoices!E10)</f>
        <v>783000</v>
      </c>
      <c r="F10" s="5" t="str">
        <f t="array" ref="F10">_xlfn.XLOOKUP(B10,Engagement_Master!$A:$A,Engagement_Master!$B:$B,"NOT FOUND")</f>
        <v>Cobalt Finance Ltd</v>
      </c>
      <c r="G10" s="5" t="str">
        <f t="array" ref="G10">_xlfn.XLOOKUP(B10,Engagement_Master!$A:$A,Engagement_Master!$C:$C,"NOT FOUND")</f>
        <v>Consulting</v>
      </c>
      <c r="H10" s="5" t="str">
        <f t="array" ref="H10">_xlfn.XLOOKUP(B10,Engagement_Master!$A:$A,Engagement_Master!$D:$D,"NOT FOUND")</f>
        <v>Priya Nair</v>
      </c>
      <c r="I10" s="5">
        <f>SUMIFS(Collections!$D:$D,Collections!$B:$B,A10)</f>
        <v>783000</v>
      </c>
      <c r="J10" s="5">
        <f t="shared" si="1"/>
        <v>0</v>
      </c>
      <c r="K10" s="5">
        <f>IF(J10="","",IF(J10&lt;=0,0,MAX(0,Control!$B$1-D10)))</f>
        <v>0</v>
      </c>
      <c r="L10" s="5" t="str">
        <f t="shared" si="2"/>
        <v>Paid</v>
      </c>
      <c r="M10" s="5" t="str">
        <f t="shared" si="3"/>
        <v>2026-05</v>
      </c>
    </row>
    <row r="11">
      <c r="A11" s="5" t="str">
        <f>Invoices!A11</f>
        <v>INV-26-0034</v>
      </c>
      <c r="B11" s="5" t="str">
        <f>Invoices!B11</f>
        <v>ENG009</v>
      </c>
      <c r="C11" s="6">
        <f>Invoices!C11</f>
        <v>46151</v>
      </c>
      <c r="D11" s="6">
        <f>Invoices!D11</f>
        <v>46211</v>
      </c>
      <c r="E11" s="5">
        <f>IF(Invoices!E11="","",Invoices!E11)</f>
        <v>916000</v>
      </c>
      <c r="F11" s="5" t="str">
        <f t="array" ref="F11">_xlfn.XLOOKUP(B11,Engagement_Master!$A:$A,Engagement_Master!$B:$B,"NOT FOUND")</f>
        <v>Indus Industries Ltd</v>
      </c>
      <c r="G11" s="5" t="str">
        <f t="array" ref="G11">_xlfn.XLOOKUP(B11,Engagement_Master!$A:$A,Engagement_Master!$C:$C,"NOT FOUND")</f>
        <v>Audit</v>
      </c>
      <c r="H11" s="5" t="str">
        <f t="array" ref="H11">_xlfn.XLOOKUP(B11,Engagement_Master!$A:$A,Engagement_Master!$D:$D,"NOT FOUND")</f>
        <v>Kavita Rao</v>
      </c>
      <c r="I11" s="5">
        <f>SUMIFS(Collections!$D:$D,Collections!$B:$B,A11)</f>
        <v>916000</v>
      </c>
      <c r="J11" s="5">
        <f t="shared" si="1"/>
        <v>0</v>
      </c>
      <c r="K11" s="5">
        <f>IF(J11="","",IF(J11&lt;=0,0,MAX(0,Control!$B$1-D11)))</f>
        <v>0</v>
      </c>
      <c r="L11" s="5" t="str">
        <f t="shared" si="2"/>
        <v>Paid</v>
      </c>
      <c r="M11" s="5" t="str">
        <f t="shared" si="3"/>
        <v>2026-05</v>
      </c>
    </row>
    <row r="12">
      <c r="A12" s="5" t="str">
        <f>Invoices!A12</f>
        <v>INV-26-0061</v>
      </c>
      <c r="B12" s="5" t="str">
        <f>Invoices!B12</f>
        <v>ENG016</v>
      </c>
      <c r="C12" s="6">
        <f>Invoices!C12</f>
        <v>46156</v>
      </c>
      <c r="D12" s="6">
        <f>Invoices!D12</f>
        <v>46186</v>
      </c>
      <c r="E12" s="5">
        <f>IF(Invoices!E12="","",Invoices!E12)</f>
        <v>581000</v>
      </c>
      <c r="F12" s="5" t="str">
        <f t="array" ref="F12">_xlfn.XLOOKUP(B12,Engagement_Master!$A:$A,Engagement_Master!$B:$B,"NOT FOUND")</f>
        <v>Pinnacle Foods Pvt Ltd</v>
      </c>
      <c r="G12" s="5" t="str">
        <f t="array" ref="G12">_xlfn.XLOOKUP(B12,Engagement_Master!$A:$A,Engagement_Master!$C:$C,"NOT FOUND")</f>
        <v>Risk Advisory</v>
      </c>
      <c r="H12" s="5" t="str">
        <f t="array" ref="H12">_xlfn.XLOOKUP(B12,Engagement_Master!$A:$A,Engagement_Master!$D:$D,"NOT FOUND")</f>
        <v>Sanjay Gupta</v>
      </c>
      <c r="I12" s="5">
        <f>SUMIFS(Collections!$D:$D,Collections!$B:$B,A12)</f>
        <v>581000</v>
      </c>
      <c r="J12" s="5">
        <f t="shared" si="1"/>
        <v>0</v>
      </c>
      <c r="K12" s="5">
        <f>IF(J12="","",IF(J12&lt;=0,0,MAX(0,Control!$B$1-D12)))</f>
        <v>0</v>
      </c>
      <c r="L12" s="5" t="str">
        <f t="shared" si="2"/>
        <v>Paid</v>
      </c>
      <c r="M12" s="5" t="str">
        <f t="shared" si="3"/>
        <v>2026-05</v>
      </c>
    </row>
    <row r="13">
      <c r="A13" s="8" t="str">
        <f>Invoices!A13</f>
        <v>INV-26-0079</v>
      </c>
      <c r="B13" s="8" t="str">
        <f>Invoices!B13</f>
        <v>ENG020</v>
      </c>
      <c r="C13" s="9">
        <f>Invoices!C13</f>
        <v>46156</v>
      </c>
      <c r="D13" s="9">
        <f>Invoices!D13</f>
        <v>46201</v>
      </c>
      <c r="E13" s="8">
        <f>IF(Invoices!E13="","",Invoices!E13)</f>
        <v>490000</v>
      </c>
      <c r="F13" s="8" t="str">
        <f t="array" ref="F13">_xlfn.XLOOKUP(B13,Engagement_Master!$A:$A,Engagement_Master!$B:$B,"NOT FOUND")</f>
        <v>Terra Retail Ltd</v>
      </c>
      <c r="G13" s="8" t="str">
        <f t="array" ref="G13">_xlfn.XLOOKUP(B13,Engagement_Master!$A:$A,Engagement_Master!$C:$C,"NOT FOUND")</f>
        <v>Risk Advisory</v>
      </c>
      <c r="H13" s="8" t="str">
        <f t="array" ref="H13">_xlfn.XLOOKUP(B13,Engagement_Master!$A:$A,Engagement_Master!$D:$D,"NOT FOUND")</f>
        <v>Meera Joshi</v>
      </c>
      <c r="I13" s="8">
        <f>SUMIFS(Collections!$D:$D,Collections!$B:$B,A13)</f>
        <v>263000</v>
      </c>
      <c r="J13" s="8">
        <f t="shared" si="1"/>
        <v>227000</v>
      </c>
      <c r="K13" s="8">
        <f>IF(J13="","",IF(J13&lt;=0,0,MAX(0,Control!$B$1-D13)))</f>
        <v>94</v>
      </c>
      <c r="L13" s="8" t="str">
        <f t="shared" si="2"/>
        <v>90+</v>
      </c>
      <c r="M13" s="5" t="str">
        <f t="shared" si="3"/>
        <v>2026-05</v>
      </c>
    </row>
    <row r="14">
      <c r="A14" s="5" t="str">
        <f>Invoices!A14</f>
        <v>INV-26-0013</v>
      </c>
      <c r="B14" s="5" t="str">
        <f>Invoices!B14</f>
        <v>ENG004</v>
      </c>
      <c r="C14" s="6">
        <f>Invoices!C14</f>
        <v>46156</v>
      </c>
      <c r="D14" s="6">
        <f>Invoices!D14</f>
        <v>46186</v>
      </c>
      <c r="E14" s="5">
        <f>IF(Invoices!E14="","",Invoices!E14)</f>
        <v>295000</v>
      </c>
      <c r="F14" s="5" t="str">
        <f t="array" ref="F14">_xlfn.XLOOKUP(B14,Engagement_Master!$A:$A,Engagement_Master!$B:$B,"NOT FOUND")</f>
        <v>Deccan Retail Ltd</v>
      </c>
      <c r="G14" s="5" t="str">
        <f t="array" ref="G14">_xlfn.XLOOKUP(B14,Engagement_Master!$A:$A,Engagement_Master!$C:$C,"NOT FOUND")</f>
        <v>Risk Advisory</v>
      </c>
      <c r="H14" s="5" t="str">
        <f t="array" ref="H14">_xlfn.XLOOKUP(B14,Engagement_Master!$A:$A,Engagement_Master!$D:$D,"NOT FOUND")</f>
        <v>Sanjay Gupta</v>
      </c>
      <c r="I14" s="5">
        <f>SUMIFS(Collections!$D:$D,Collections!$B:$B,A14)</f>
        <v>295000</v>
      </c>
      <c r="J14" s="5">
        <f t="shared" si="1"/>
        <v>0</v>
      </c>
      <c r="K14" s="5">
        <f>IF(J14="","",IF(J14&lt;=0,0,MAX(0,Control!$B$1-D14)))</f>
        <v>0</v>
      </c>
      <c r="L14" s="5" t="str">
        <f t="shared" si="2"/>
        <v>Paid</v>
      </c>
      <c r="M14" s="5" t="str">
        <f t="shared" si="3"/>
        <v>2026-05</v>
      </c>
    </row>
    <row r="15">
      <c r="A15" s="5" t="str">
        <f>Invoices!A15</f>
        <v>INV-26-0001</v>
      </c>
      <c r="B15" s="5" t="str">
        <f>Invoices!B15</f>
        <v>ENG001</v>
      </c>
      <c r="C15" s="6">
        <f>Invoices!C15</f>
        <v>46156</v>
      </c>
      <c r="D15" s="6">
        <f>Invoices!D15</f>
        <v>46186</v>
      </c>
      <c r="E15" s="5">
        <f>IF(Invoices!E15="","",Invoices!E15)</f>
        <v>360000</v>
      </c>
      <c r="F15" s="5" t="str">
        <f t="array" ref="F15">_xlfn.XLOOKUP(B15,Engagement_Master!$A:$A,Engagement_Master!$B:$B,"NOT FOUND")</f>
        <v>Arcadia Industries Ltd</v>
      </c>
      <c r="G15" s="5" t="str">
        <f t="array" ref="G15">_xlfn.XLOOKUP(B15,Engagement_Master!$A:$A,Engagement_Master!$C:$C,"NOT FOUND")</f>
        <v>Audit</v>
      </c>
      <c r="H15" s="5" t="str">
        <f t="array" ref="H15">_xlfn.XLOOKUP(B15,Engagement_Master!$A:$A,Engagement_Master!$D:$D,"NOT FOUND")</f>
        <v>Anil Mehta</v>
      </c>
      <c r="I15" s="5">
        <f>SUMIFS(Collections!$D:$D,Collections!$B:$B,A15)</f>
        <v>360000</v>
      </c>
      <c r="J15" s="5">
        <f t="shared" si="1"/>
        <v>0</v>
      </c>
      <c r="K15" s="5">
        <f>IF(J15="","",IF(J15&lt;=0,0,MAX(0,Control!$B$1-D15)))</f>
        <v>0</v>
      </c>
      <c r="L15" s="5" t="str">
        <f t="shared" si="2"/>
        <v>Paid</v>
      </c>
      <c r="M15" s="5" t="str">
        <f t="shared" si="3"/>
        <v>2026-05</v>
      </c>
    </row>
    <row r="16">
      <c r="A16" s="5" t="str">
        <f>Invoices!A16</f>
        <v>INV-26-0145</v>
      </c>
      <c r="B16" s="5" t="str">
        <f>Invoices!B16</f>
        <v>ENG036</v>
      </c>
      <c r="C16" s="6">
        <f>Invoices!C16</f>
        <v>46157</v>
      </c>
      <c r="D16" s="6">
        <f>Invoices!D16</f>
        <v>46202</v>
      </c>
      <c r="E16" s="5">
        <f>IF(Invoices!E16="","",Invoices!E16)</f>
        <v>1147000</v>
      </c>
      <c r="F16" s="5" t="str">
        <f t="array" ref="F16">_xlfn.XLOOKUP(B16,Engagement_Master!$A:$A,Engagement_Master!$B:$B,"NOT FOUND")</f>
        <v>Lumen Retail Ltd</v>
      </c>
      <c r="G16" s="5" t="str">
        <f t="array" ref="G16">_xlfn.XLOOKUP(B16,Engagement_Master!$A:$A,Engagement_Master!$C:$C,"NOT FOUND")</f>
        <v>Risk Advisory</v>
      </c>
      <c r="H16" s="5" t="str">
        <f t="array" ref="H16">_xlfn.XLOOKUP(B16,Engagement_Master!$A:$A,Engagement_Master!$D:$D,"NOT FOUND")</f>
        <v>Sanjay Gupta</v>
      </c>
      <c r="I16" s="5">
        <f>SUMIFS(Collections!$D:$D,Collections!$B:$B,A16)</f>
        <v>1147000</v>
      </c>
      <c r="J16" s="5">
        <f t="shared" si="1"/>
        <v>0</v>
      </c>
      <c r="K16" s="5">
        <f>IF(J16="","",IF(J16&lt;=0,0,MAX(0,Control!$B$1-D16)))</f>
        <v>0</v>
      </c>
      <c r="L16" s="5" t="str">
        <f t="shared" si="2"/>
        <v>Paid</v>
      </c>
      <c r="M16" s="5" t="str">
        <f t="shared" si="3"/>
        <v>2026-05</v>
      </c>
    </row>
    <row r="17">
      <c r="A17" s="5" t="str">
        <f>Invoices!A17</f>
        <v>INV-26-0114</v>
      </c>
      <c r="B17" s="5" t="str">
        <f>Invoices!B17</f>
        <v>ENG029</v>
      </c>
      <c r="C17" s="6">
        <f>Invoices!C17</f>
        <v>46157</v>
      </c>
      <c r="D17" s="6">
        <f>Invoices!D17</f>
        <v>46187</v>
      </c>
      <c r="E17" s="5">
        <f>IF(Invoices!E17="","",Invoices!E17)</f>
        <v>1129000</v>
      </c>
      <c r="F17" s="5" t="str">
        <f t="array" ref="F17">_xlfn.XLOOKUP(B17,Engagement_Master!$A:$A,Engagement_Master!$B:$B,"NOT FOUND")</f>
        <v>Ember Infotech Pvt Ltd</v>
      </c>
      <c r="G17" s="5" t="str">
        <f t="array" ref="G17">_xlfn.XLOOKUP(B17,Engagement_Master!$A:$A,Engagement_Master!$C:$C,"NOT FOUND")</f>
        <v>Audit</v>
      </c>
      <c r="H17" s="5" t="str">
        <f t="array" ref="H17">_xlfn.XLOOKUP(B17,Engagement_Master!$A:$A,Engagement_Master!$D:$D,"NOT FOUND")</f>
        <v>Kavita Rao</v>
      </c>
      <c r="I17" s="5">
        <f>SUMIFS(Collections!$D:$D,Collections!$B:$B,A17)</f>
        <v>1129000</v>
      </c>
      <c r="J17" s="5">
        <f t="shared" si="1"/>
        <v>0</v>
      </c>
      <c r="K17" s="5">
        <f>IF(J17="","",IF(J17&lt;=0,0,MAX(0,Control!$B$1-D17)))</f>
        <v>0</v>
      </c>
      <c r="L17" s="5" t="str">
        <f t="shared" si="2"/>
        <v>Paid</v>
      </c>
      <c r="M17" s="5" t="str">
        <f t="shared" si="3"/>
        <v>2026-05</v>
      </c>
    </row>
    <row r="18">
      <c r="A18" s="8" t="str">
        <f>Invoices!A18</f>
        <v>INV-26-0016</v>
      </c>
      <c r="B18" s="8" t="str">
        <f>Invoices!B18</f>
        <v>ENG005</v>
      </c>
      <c r="C18" s="9">
        <f>Invoices!C18</f>
        <v>46159</v>
      </c>
      <c r="D18" s="9">
        <f>Invoices!D18</f>
        <v>46189</v>
      </c>
      <c r="E18" s="8">
        <f>IF(Invoices!E18="","",Invoices!E18)</f>
        <v>466000</v>
      </c>
      <c r="F18" s="8" t="str">
        <f t="array" ref="F18">_xlfn.XLOOKUP(B18,Engagement_Master!$A:$A,Engagement_Master!$B:$B,"NOT FOUND")</f>
        <v>Everest Infotech Pvt Ltd</v>
      </c>
      <c r="G18" s="8" t="str">
        <f t="array" ref="G18">_xlfn.XLOOKUP(B18,Engagement_Master!$A:$A,Engagement_Master!$C:$C,"NOT FOUND")</f>
        <v>Audit</v>
      </c>
      <c r="H18" s="8" t="str">
        <f t="array" ref="H18">_xlfn.XLOOKUP(B18,Engagement_Master!$A:$A,Engagement_Master!$D:$D,"NOT FOUND")</f>
        <v>Anil Mehta</v>
      </c>
      <c r="I18" s="8">
        <f>SUMIFS(Collections!$D:$D,Collections!$B:$B,A18)</f>
        <v>0</v>
      </c>
      <c r="J18" s="8">
        <f t="shared" si="1"/>
        <v>466000</v>
      </c>
      <c r="K18" s="8">
        <f>IF(J18="","",IF(J18&lt;=0,0,MAX(0,Control!$B$1-D18)))</f>
        <v>106</v>
      </c>
      <c r="L18" s="8" t="str">
        <f t="shared" si="2"/>
        <v>90+</v>
      </c>
      <c r="M18" s="5" t="str">
        <f t="shared" si="3"/>
        <v>2026-05</v>
      </c>
    </row>
    <row r="19">
      <c r="A19" s="5" t="str">
        <f>Invoices!A19</f>
        <v>INV-26-0136</v>
      </c>
      <c r="B19" s="5" t="str">
        <f>Invoices!B19</f>
        <v>ENG034</v>
      </c>
      <c r="C19" s="6">
        <f>Invoices!C19</f>
        <v>46159</v>
      </c>
      <c r="D19" s="6">
        <f>Invoices!D19</f>
        <v>46189</v>
      </c>
      <c r="E19" s="5">
        <f>IF(Invoices!E19="","",Invoices!E19)</f>
        <v>1083000</v>
      </c>
      <c r="F19" s="5" t="str">
        <f t="array" ref="F19">_xlfn.XLOOKUP(B19,Engagement_Master!$A:$A,Engagement_Master!$B:$B,"NOT FOUND")</f>
        <v>Juniper Pharma Pvt Ltd</v>
      </c>
      <c r="G19" s="5" t="str">
        <f t="array" ref="G19">_xlfn.XLOOKUP(B19,Engagement_Master!$A:$A,Engagement_Master!$C:$C,"NOT FOUND")</f>
        <v>Tax</v>
      </c>
      <c r="H19" s="5" t="str">
        <f t="array" ref="H19">_xlfn.XLOOKUP(B19,Engagement_Master!$A:$A,Engagement_Master!$D:$D,"NOT FOUND")</f>
        <v>Neha Kapoor</v>
      </c>
      <c r="I19" s="5">
        <f>SUMIFS(Collections!$D:$D,Collections!$B:$B,A19)</f>
        <v>1083000</v>
      </c>
      <c r="J19" s="5">
        <f t="shared" si="1"/>
        <v>0</v>
      </c>
      <c r="K19" s="5">
        <f>IF(J19="","",IF(J19&lt;=0,0,MAX(0,Control!$B$1-D19)))</f>
        <v>0</v>
      </c>
      <c r="L19" s="5" t="str">
        <f t="shared" si="2"/>
        <v>Paid</v>
      </c>
      <c r="M19" s="5" t="str">
        <f t="shared" si="3"/>
        <v>2026-05</v>
      </c>
    </row>
    <row r="20">
      <c r="A20" s="5" t="str">
        <f>Invoices!A20</f>
        <v>INV-26-0122</v>
      </c>
      <c r="B20" s="5" t="str">
        <f>Invoices!B20</f>
        <v>ENG031</v>
      </c>
      <c r="C20" s="6">
        <f>Invoices!C20</f>
        <v>46160</v>
      </c>
      <c r="D20" s="6">
        <f>Invoices!D20</f>
        <v>46220</v>
      </c>
      <c r="E20" s="5">
        <f>IF(Invoices!E20="","",Invoices!E20)</f>
        <v>986000</v>
      </c>
      <c r="F20" s="5" t="str">
        <f t="array" ref="F20">_xlfn.XLOOKUP(B20,Engagement_Master!$A:$A,Engagement_Master!$B:$B,"NOT FOUND")</f>
        <v>Glacier Energy Ltd</v>
      </c>
      <c r="G20" s="5" t="str">
        <f t="array" ref="G20">_xlfn.XLOOKUP(B20,Engagement_Master!$A:$A,Engagement_Master!$C:$C,"NOT FOUND")</f>
        <v>Consulting</v>
      </c>
      <c r="H20" s="5" t="str">
        <f t="array" ref="H20">_xlfn.XLOOKUP(B20,Engagement_Master!$A:$A,Engagement_Master!$D:$D,"NOT FOUND")</f>
        <v>Priya Nair</v>
      </c>
      <c r="I20" s="5">
        <f>SUMIFS(Collections!$D:$D,Collections!$B:$B,A20)</f>
        <v>577000</v>
      </c>
      <c r="J20" s="5">
        <f t="shared" si="1"/>
        <v>409000</v>
      </c>
      <c r="K20" s="5">
        <f>IF(J20="","",IF(J20&lt;=0,0,MAX(0,Control!$B$1-D20)))</f>
        <v>75</v>
      </c>
      <c r="L20" s="5" t="str">
        <f t="shared" si="2"/>
        <v>61-90</v>
      </c>
      <c r="M20" s="5" t="str">
        <f t="shared" si="3"/>
        <v>2026-05</v>
      </c>
    </row>
    <row r="21">
      <c r="A21" s="5" t="str">
        <f>Invoices!A21</f>
        <v>INV-26-0051</v>
      </c>
      <c r="B21" s="5" t="str">
        <f>Invoices!B21</f>
        <v>ENG013</v>
      </c>
      <c r="C21" s="6">
        <f>Invoices!C21</f>
        <v>46160</v>
      </c>
      <c r="D21" s="6">
        <f>Invoices!D21</f>
        <v>46205</v>
      </c>
      <c r="E21" s="5">
        <f>IF(Invoices!E21="","",Invoices!E21)</f>
        <v>910000</v>
      </c>
      <c r="F21" s="5" t="str">
        <f t="array" ref="F21">_xlfn.XLOOKUP(B21,Engagement_Master!$A:$A,Engagement_Master!$B:$B,"NOT FOUND")</f>
        <v>Meridian Infotech Pvt Ltd</v>
      </c>
      <c r="G21" s="5" t="str">
        <f t="array" ref="G21">_xlfn.XLOOKUP(B21,Engagement_Master!$A:$A,Engagement_Master!$C:$C,"NOT FOUND")</f>
        <v>Audit</v>
      </c>
      <c r="H21" s="5" t="str">
        <f t="array" ref="H21">_xlfn.XLOOKUP(B21,Engagement_Master!$A:$A,Engagement_Master!$D:$D,"NOT FOUND")</f>
        <v>Anil Mehta</v>
      </c>
      <c r="I21" s="5">
        <f>SUMIFS(Collections!$D:$D,Collections!$B:$B,A21)</f>
        <v>910000</v>
      </c>
      <c r="J21" s="5">
        <f t="shared" si="1"/>
        <v>0</v>
      </c>
      <c r="K21" s="5">
        <f>IF(J21="","",IF(J21&lt;=0,0,MAX(0,Control!$B$1-D21)))</f>
        <v>0</v>
      </c>
      <c r="L21" s="5" t="str">
        <f t="shared" si="2"/>
        <v>Paid</v>
      </c>
      <c r="M21" s="5" t="str">
        <f t="shared" si="3"/>
        <v>2026-05</v>
      </c>
    </row>
    <row r="22">
      <c r="A22" s="5" t="str">
        <f>Invoices!A22</f>
        <v>INV-26-0006</v>
      </c>
      <c r="B22" s="5" t="str">
        <f>Invoices!B22</f>
        <v>ENG002</v>
      </c>
      <c r="C22" s="6">
        <f>Invoices!C22</f>
        <v>46161</v>
      </c>
      <c r="D22" s="6">
        <f>Invoices!D22</f>
        <v>46191</v>
      </c>
      <c r="E22" s="5">
        <f>IF(Invoices!E22="","",Invoices!E22)</f>
        <v>813000</v>
      </c>
      <c r="F22" s="5" t="str">
        <f t="array" ref="F22">_xlfn.XLOOKUP(B22,Engagement_Master!$A:$A,Engagement_Master!$B:$B,"NOT FOUND")</f>
        <v>Bluestone Pharma Pvt Ltd</v>
      </c>
      <c r="G22" s="5" t="str">
        <f t="array" ref="G22">_xlfn.XLOOKUP(B22,Engagement_Master!$A:$A,Engagement_Master!$C:$C,"NOT FOUND")</f>
        <v>Tax</v>
      </c>
      <c r="H22" s="5" t="str">
        <f t="array" ref="H22">_xlfn.XLOOKUP(B22,Engagement_Master!$A:$A,Engagement_Master!$D:$D,"NOT FOUND")</f>
        <v>Rohit Sharma</v>
      </c>
      <c r="I22" s="5">
        <f>SUMIFS(Collections!$D:$D,Collections!$B:$B,A22)</f>
        <v>813000</v>
      </c>
      <c r="J22" s="5">
        <f t="shared" si="1"/>
        <v>0</v>
      </c>
      <c r="K22" s="5">
        <f>IF(J22="","",IF(J22&lt;=0,0,MAX(0,Control!$B$1-D22)))</f>
        <v>0</v>
      </c>
      <c r="L22" s="5" t="str">
        <f t="shared" si="2"/>
        <v>Paid</v>
      </c>
      <c r="M22" s="5" t="str">
        <f t="shared" si="3"/>
        <v>2026-05</v>
      </c>
    </row>
    <row r="23">
      <c r="A23" s="5" t="str">
        <f>Invoices!A23</f>
        <v>INV-26-0042</v>
      </c>
      <c r="B23" s="5" t="str">
        <f>Invoices!B23</f>
        <v>ENG011</v>
      </c>
      <c r="C23" s="6">
        <f>Invoices!C23</f>
        <v>46162</v>
      </c>
      <c r="D23" s="6">
        <f>Invoices!D23</f>
        <v>46192</v>
      </c>
      <c r="E23" s="5">
        <f>IF(Invoices!E23="","",Invoices!E23)</f>
        <v>635000</v>
      </c>
      <c r="F23" s="5" t="str">
        <f t="array" ref="F23">_xlfn.XLOOKUP(B23,Engagement_Master!$A:$A,Engagement_Master!$B:$B,"NOT FOUND")</f>
        <v>Kestrel Finance Ltd</v>
      </c>
      <c r="G23" s="5" t="str">
        <f t="array" ref="G23">_xlfn.XLOOKUP(B23,Engagement_Master!$A:$A,Engagement_Master!$C:$C,"NOT FOUND")</f>
        <v>Consulting</v>
      </c>
      <c r="H23" s="5" t="str">
        <f t="array" ref="H23">_xlfn.XLOOKUP(B23,Engagement_Master!$A:$A,Engagement_Master!$D:$D,"NOT FOUND")</f>
        <v>Vikram Iyer</v>
      </c>
      <c r="I23" s="5">
        <f>SUMIFS(Collections!$D:$D,Collections!$B:$B,A23)</f>
        <v>635000</v>
      </c>
      <c r="J23" s="5">
        <f t="shared" si="1"/>
        <v>0</v>
      </c>
      <c r="K23" s="5">
        <f>IF(J23="","",IF(J23&lt;=0,0,MAX(0,Control!$B$1-D23)))</f>
        <v>0</v>
      </c>
      <c r="L23" s="5" t="str">
        <f t="shared" si="2"/>
        <v>Paid</v>
      </c>
      <c r="M23" s="5" t="str">
        <f t="shared" si="3"/>
        <v>2026-05</v>
      </c>
    </row>
    <row r="24">
      <c r="A24" s="5" t="str">
        <f>Invoices!A24</f>
        <v>INV-26-0025</v>
      </c>
      <c r="B24" s="5" t="str">
        <f>Invoices!B24</f>
        <v>ENG007</v>
      </c>
      <c r="C24" s="6">
        <f>Invoices!C24</f>
        <v>46164</v>
      </c>
      <c r="D24" s="6">
        <f>Invoices!D24</f>
        <v>46224</v>
      </c>
      <c r="E24" s="5">
        <f>IF(Invoices!E24="","",Invoices!E24)</f>
        <v>1263000</v>
      </c>
      <c r="F24" s="5" t="str">
        <f t="array" ref="F24">_xlfn.XLOOKUP(B24,Engagement_Master!$A:$A,Engagement_Master!$B:$B,"NOT FOUND")</f>
        <v>Granite Energy Ltd</v>
      </c>
      <c r="G24" s="5" t="str">
        <f t="array" ref="G24">_xlfn.XLOOKUP(B24,Engagement_Master!$A:$A,Engagement_Master!$C:$C,"NOT FOUND")</f>
        <v>Consulting</v>
      </c>
      <c r="H24" s="5" t="str">
        <f t="array" ref="H24">_xlfn.XLOOKUP(B24,Engagement_Master!$A:$A,Engagement_Master!$D:$D,"NOT FOUND")</f>
        <v>Vikram Iyer</v>
      </c>
      <c r="I24" s="5">
        <f>SUMIFS(Collections!$D:$D,Collections!$B:$B,A24)</f>
        <v>0</v>
      </c>
      <c r="J24" s="5">
        <f t="shared" si="1"/>
        <v>1263000</v>
      </c>
      <c r="K24" s="5">
        <f>IF(J24="","",IF(J24&lt;=0,0,MAX(0,Control!$B$1-D24)))</f>
        <v>71</v>
      </c>
      <c r="L24" s="5" t="str">
        <f t="shared" si="2"/>
        <v>61-90</v>
      </c>
      <c r="M24" s="5" t="str">
        <f t="shared" si="3"/>
        <v>2026-05</v>
      </c>
    </row>
    <row r="25">
      <c r="A25" s="5" t="str">
        <f>Invoices!A25</f>
        <v>INV-26-0148</v>
      </c>
      <c r="B25" s="5" t="str">
        <f>Invoices!B25</f>
        <v>ENG037</v>
      </c>
      <c r="C25" s="6">
        <f>Invoices!C25</f>
        <v>46164</v>
      </c>
      <c r="D25" s="6">
        <f>Invoices!D25</f>
        <v>46209</v>
      </c>
      <c r="E25" s="5">
        <f>IF(Invoices!E25="","",Invoices!E25)</f>
        <v>572000</v>
      </c>
      <c r="F25" s="5" t="str">
        <f t="array" ref="F25">_xlfn.XLOOKUP(B25,Engagement_Master!$A:$A,Engagement_Master!$B:$B,"NOT FOUND")</f>
        <v>Monsoon Infotech Pvt Ltd</v>
      </c>
      <c r="G25" s="5" t="str">
        <f t="array" ref="G25">_xlfn.XLOOKUP(B25,Engagement_Master!$A:$A,Engagement_Master!$C:$C,"NOT FOUND")</f>
        <v>Audit</v>
      </c>
      <c r="H25" s="5" t="str">
        <f t="array" ref="H25">_xlfn.XLOOKUP(B25,Engagement_Master!$A:$A,Engagement_Master!$D:$D,"NOT FOUND")</f>
        <v>Kavita Rao</v>
      </c>
      <c r="I25" s="5">
        <f>SUMIFS(Collections!$D:$D,Collections!$B:$B,A25)</f>
        <v>572000</v>
      </c>
      <c r="J25" s="5">
        <f t="shared" si="1"/>
        <v>0</v>
      </c>
      <c r="K25" s="5">
        <f>IF(J25="","",IF(J25&lt;=0,0,MAX(0,Control!$B$1-D25)))</f>
        <v>0</v>
      </c>
      <c r="L25" s="5" t="str">
        <f t="shared" si="2"/>
        <v>Paid</v>
      </c>
      <c r="M25" s="5" t="str">
        <f t="shared" si="3"/>
        <v>2026-05</v>
      </c>
    </row>
    <row r="26">
      <c r="A26" s="5" t="str">
        <f>Invoices!A26</f>
        <v>INV-26-0131</v>
      </c>
      <c r="B26" s="5" t="str">
        <f>Invoices!B26</f>
        <v>ENG033</v>
      </c>
      <c r="C26" s="6">
        <f>Invoices!C26</f>
        <v>46165</v>
      </c>
      <c r="D26" s="6">
        <f>Invoices!D26</f>
        <v>46195</v>
      </c>
      <c r="E26" s="5">
        <f>IF(Invoices!E26="","",Invoices!E26)</f>
        <v>705000</v>
      </c>
      <c r="F26" s="5" t="str">
        <f t="array" ref="F26">_xlfn.XLOOKUP(B26,Engagement_Master!$A:$A,Engagement_Master!$B:$B,"NOT FOUND")</f>
        <v>Ivory Industries Ltd</v>
      </c>
      <c r="G26" s="5" t="str">
        <f t="array" ref="G26">_xlfn.XLOOKUP(B26,Engagement_Master!$A:$A,Engagement_Master!$C:$C,"NOT FOUND")</f>
        <v>Audit</v>
      </c>
      <c r="H26" s="5" t="str">
        <f t="array" ref="H26">_xlfn.XLOOKUP(B26,Engagement_Master!$A:$A,Engagement_Master!$D:$D,"NOT FOUND")</f>
        <v>Anil Mehta</v>
      </c>
      <c r="I26" s="5">
        <f>SUMIFS(Collections!$D:$D,Collections!$B:$B,A26)</f>
        <v>705000</v>
      </c>
      <c r="J26" s="5">
        <f t="shared" si="1"/>
        <v>0</v>
      </c>
      <c r="K26" s="5">
        <f>IF(J26="","",IF(J26&lt;=0,0,MAX(0,Control!$B$1-D26)))</f>
        <v>0</v>
      </c>
      <c r="L26" s="5" t="str">
        <f t="shared" si="2"/>
        <v>Paid</v>
      </c>
      <c r="M26" s="5" t="str">
        <f t="shared" si="3"/>
        <v>2026-05</v>
      </c>
    </row>
    <row r="27">
      <c r="A27" s="5" t="str">
        <f>Invoices!A27</f>
        <v>INV-26-0038</v>
      </c>
      <c r="B27" s="5" t="str">
        <f>Invoices!B27</f>
        <v>ENG010</v>
      </c>
      <c r="C27" s="6">
        <f>Invoices!C27</f>
        <v>46166</v>
      </c>
      <c r="D27" s="6">
        <f>Invoices!D27</f>
        <v>46196</v>
      </c>
      <c r="E27" s="5">
        <f>IF(Invoices!E27="","",Invoices!E27)</f>
        <v>1442000</v>
      </c>
      <c r="F27" s="5" t="str">
        <f t="array" ref="F27">_xlfn.XLOOKUP(B27,Engagement_Master!$A:$A,Engagement_Master!$B:$B,"NOT FOUND")</f>
        <v>Jade Pharma Pvt Ltd</v>
      </c>
      <c r="G27" s="5" t="str">
        <f t="array" ref="G27">_xlfn.XLOOKUP(B27,Engagement_Master!$A:$A,Engagement_Master!$C:$C,"NOT FOUND")</f>
        <v>Tax</v>
      </c>
      <c r="H27" s="5" t="str">
        <f t="array" ref="H27">_xlfn.XLOOKUP(B27,Engagement_Master!$A:$A,Engagement_Master!$D:$D,"NOT FOUND")</f>
        <v>Rohit Sharma</v>
      </c>
      <c r="I27" s="5">
        <f>SUMIFS(Collections!$D:$D,Collections!$B:$B,A27)</f>
        <v>1442000</v>
      </c>
      <c r="J27" s="5">
        <f t="shared" si="1"/>
        <v>0</v>
      </c>
      <c r="K27" s="5">
        <f>IF(J27="","",IF(J27&lt;=0,0,MAX(0,Control!$B$1-D27)))</f>
        <v>0</v>
      </c>
      <c r="L27" s="5" t="str">
        <f t="shared" si="2"/>
        <v>Paid</v>
      </c>
      <c r="M27" s="5" t="str">
        <f t="shared" si="3"/>
        <v>2026-05</v>
      </c>
    </row>
    <row r="28">
      <c r="A28" s="5" t="str">
        <f>Invoices!A28</f>
        <v>INV-26-0088</v>
      </c>
      <c r="B28" s="5" t="str">
        <f>Invoices!B28</f>
        <v>ENG022</v>
      </c>
      <c r="C28" s="6">
        <f>Invoices!C28</f>
        <v>46166</v>
      </c>
      <c r="D28" s="6">
        <f>Invoices!D28</f>
        <v>46196</v>
      </c>
      <c r="E28" s="5">
        <f>IF(Invoices!E28="","",Invoices!E28)</f>
        <v>1112000</v>
      </c>
      <c r="F28" s="5" t="str">
        <f t="array" ref="F28">_xlfn.XLOOKUP(B28,Engagement_Master!$A:$A,Engagement_Master!$B:$B,"NOT FOUND")</f>
        <v>Vertex Motors Ltd</v>
      </c>
      <c r="G28" s="5" t="str">
        <f t="array" ref="G28">_xlfn.XLOOKUP(B28,Engagement_Master!$A:$A,Engagement_Master!$C:$C,"NOT FOUND")</f>
        <v>Tax</v>
      </c>
      <c r="H28" s="5" t="str">
        <f t="array" ref="H28">_xlfn.XLOOKUP(B28,Engagement_Master!$A:$A,Engagement_Master!$D:$D,"NOT FOUND")</f>
        <v>Rohit Sharma</v>
      </c>
      <c r="I28" s="5">
        <f>SUMIFS(Collections!$D:$D,Collections!$B:$B,A28)</f>
        <v>1112000</v>
      </c>
      <c r="J28" s="5">
        <f t="shared" si="1"/>
        <v>0</v>
      </c>
      <c r="K28" s="5">
        <f>IF(J28="","",IF(J28&lt;=0,0,MAX(0,Control!$B$1-D28)))</f>
        <v>0</v>
      </c>
      <c r="L28" s="5" t="str">
        <f t="shared" si="2"/>
        <v>Paid</v>
      </c>
      <c r="M28" s="5" t="str">
        <f t="shared" si="3"/>
        <v>2026-05</v>
      </c>
    </row>
    <row r="29">
      <c r="A29" s="5" t="str">
        <f>Invoices!A29</f>
        <v>INV-26-0083</v>
      </c>
      <c r="B29" s="5" t="str">
        <f>Invoices!B29</f>
        <v>ENG021</v>
      </c>
      <c r="C29" s="6">
        <f>Invoices!C29</f>
        <v>46167</v>
      </c>
      <c r="D29" s="6">
        <f>Invoices!D29</f>
        <v>46212</v>
      </c>
      <c r="E29" s="5">
        <f>IF(Invoices!E29="","",Invoices!E29)</f>
        <v>320000</v>
      </c>
      <c r="F29" s="5" t="str">
        <f t="array" ref="F29">_xlfn.XLOOKUP(B29,Engagement_Master!$A:$A,Engagement_Master!$B:$B,"NOT FOUND")</f>
        <v>Unity Infotech Pvt Ltd</v>
      </c>
      <c r="G29" s="5" t="str">
        <f t="array" ref="G29">_xlfn.XLOOKUP(B29,Engagement_Master!$A:$A,Engagement_Master!$C:$C,"NOT FOUND")</f>
        <v>Audit</v>
      </c>
      <c r="H29" s="5" t="str">
        <f t="array" ref="H29">_xlfn.XLOOKUP(B29,Engagement_Master!$A:$A,Engagement_Master!$D:$D,"NOT FOUND")</f>
        <v>Anil Mehta</v>
      </c>
      <c r="I29" s="5">
        <f>SUMIFS(Collections!$D:$D,Collections!$B:$B,A29)</f>
        <v>320000</v>
      </c>
      <c r="J29" s="5">
        <f t="shared" si="1"/>
        <v>0</v>
      </c>
      <c r="K29" s="5">
        <f>IF(J29="","",IF(J29&lt;=0,0,MAX(0,Control!$B$1-D29)))</f>
        <v>0</v>
      </c>
      <c r="L29" s="5" t="str">
        <f t="shared" si="2"/>
        <v>Paid</v>
      </c>
      <c r="M29" s="5" t="str">
        <f t="shared" si="3"/>
        <v>2026-05</v>
      </c>
    </row>
    <row r="30">
      <c r="A30" s="5" t="str">
        <f>Invoices!A30</f>
        <v>INV-26-0066</v>
      </c>
      <c r="B30" s="5" t="str">
        <f>Invoices!B30</f>
        <v>ENG017</v>
      </c>
      <c r="C30" s="6">
        <f>Invoices!C30</f>
        <v>46167</v>
      </c>
      <c r="D30" s="6">
        <f>Invoices!D30</f>
        <v>46212</v>
      </c>
      <c r="E30" s="5">
        <f>IF(Invoices!E30="","",Invoices!E30)</f>
        <v>304000</v>
      </c>
      <c r="F30" s="5" t="str">
        <f t="array" ref="F30">_xlfn.XLOOKUP(B30,Engagement_Master!$A:$A,Engagement_Master!$B:$B,"NOT FOUND")</f>
        <v>Quantum Industries Ltd</v>
      </c>
      <c r="G30" s="5" t="str">
        <f t="array" ref="G30">_xlfn.XLOOKUP(B30,Engagement_Master!$A:$A,Engagement_Master!$C:$C,"NOT FOUND")</f>
        <v>Audit</v>
      </c>
      <c r="H30" s="5" t="str">
        <f t="array" ref="H30">_xlfn.XLOOKUP(B30,Engagement_Master!$A:$A,Engagement_Master!$D:$D,"NOT FOUND")</f>
        <v>Anil Mehta</v>
      </c>
      <c r="I30" s="5">
        <f>SUMIFS(Collections!$D:$D,Collections!$B:$B,A30)</f>
        <v>304000</v>
      </c>
      <c r="J30" s="5">
        <f t="shared" si="1"/>
        <v>0</v>
      </c>
      <c r="K30" s="5">
        <f>IF(J30="","",IF(J30&lt;=0,0,MAX(0,Control!$B$1-D30)))</f>
        <v>0</v>
      </c>
      <c r="L30" s="5" t="str">
        <f t="shared" si="2"/>
        <v>Paid</v>
      </c>
      <c r="M30" s="5" t="str">
        <f t="shared" si="3"/>
        <v>2026-05</v>
      </c>
    </row>
    <row r="31">
      <c r="A31" s="5" t="str">
        <f>Invoices!A31</f>
        <v>INV-26-0057</v>
      </c>
      <c r="B31" s="5" t="str">
        <f>Invoices!B31</f>
        <v>ENG015</v>
      </c>
      <c r="C31" s="6">
        <f>Invoices!C31</f>
        <v>46167</v>
      </c>
      <c r="D31" s="6">
        <f>Invoices!D31</f>
        <v>46212</v>
      </c>
      <c r="E31" s="5">
        <f>IF(Invoices!E31="","",Invoices!E31)</f>
        <v>944000</v>
      </c>
      <c r="F31" s="5" t="str">
        <f t="array" ref="F31">_xlfn.XLOOKUP(B31,Engagement_Master!$A:$A,Engagement_Master!$B:$B,"NOT FOUND")</f>
        <v>Orion Energy Ltd</v>
      </c>
      <c r="G31" s="5" t="str">
        <f t="array" ref="G31">_xlfn.XLOOKUP(B31,Engagement_Master!$A:$A,Engagement_Master!$C:$C,"NOT FOUND")</f>
        <v>Consulting</v>
      </c>
      <c r="H31" s="5" t="str">
        <f t="array" ref="H31">_xlfn.XLOOKUP(B31,Engagement_Master!$A:$A,Engagement_Master!$D:$D,"NOT FOUND")</f>
        <v>Priya Nair</v>
      </c>
      <c r="I31" s="5">
        <f>SUMIFS(Collections!$D:$D,Collections!$B:$B,A31)</f>
        <v>944000</v>
      </c>
      <c r="J31" s="5">
        <f t="shared" si="1"/>
        <v>0</v>
      </c>
      <c r="K31" s="5">
        <f>IF(J31="","",IF(J31&lt;=0,0,MAX(0,Control!$B$1-D31)))</f>
        <v>0</v>
      </c>
      <c r="L31" s="5" t="str">
        <f t="shared" si="2"/>
        <v>Paid</v>
      </c>
      <c r="M31" s="5" t="str">
        <f t="shared" si="3"/>
        <v>2026-05</v>
      </c>
    </row>
    <row r="32">
      <c r="A32" s="5" t="str">
        <f>Invoices!A32</f>
        <v>INV-26-0108</v>
      </c>
      <c r="B32" s="5" t="str">
        <f>Invoices!B32</f>
        <v>ENG027</v>
      </c>
      <c r="C32" s="6">
        <f>Invoices!C32</f>
        <v>46177</v>
      </c>
      <c r="D32" s="6">
        <f>Invoices!D32</f>
        <v>46207</v>
      </c>
      <c r="E32" s="5">
        <f>IF(Invoices!E32="","",Invoices!E32)</f>
        <v>757000</v>
      </c>
      <c r="F32" s="5" t="str">
        <f t="array" ref="F32">_xlfn.XLOOKUP(B32,Engagement_Master!$A:$A,Engagement_Master!$B:$B,"NOT FOUND")</f>
        <v>Cobalt Finance Ltd</v>
      </c>
      <c r="G32" s="5" t="str">
        <f t="array" ref="G32">_xlfn.XLOOKUP(B32,Engagement_Master!$A:$A,Engagement_Master!$C:$C,"NOT FOUND")</f>
        <v>Consulting</v>
      </c>
      <c r="H32" s="5" t="str">
        <f t="array" ref="H32">_xlfn.XLOOKUP(B32,Engagement_Master!$A:$A,Engagement_Master!$D:$D,"NOT FOUND")</f>
        <v>Priya Nair</v>
      </c>
      <c r="I32" s="5">
        <f>SUMIFS(Collections!$D:$D,Collections!$B:$B,A32)</f>
        <v>757000</v>
      </c>
      <c r="J32" s="5">
        <f t="shared" si="1"/>
        <v>0</v>
      </c>
      <c r="K32" s="5">
        <f>IF(J32="","",IF(J32&lt;=0,0,MAX(0,Control!$B$1-D32)))</f>
        <v>0</v>
      </c>
      <c r="L32" s="5" t="str">
        <f t="shared" si="2"/>
        <v>Paid</v>
      </c>
      <c r="M32" s="5" t="str">
        <f t="shared" si="3"/>
        <v>2026-06</v>
      </c>
    </row>
    <row r="33">
      <c r="A33" s="5" t="str">
        <f>Invoices!A33</f>
        <v>INV-26-0021</v>
      </c>
      <c r="B33" s="5" t="str">
        <f>Invoices!B33</f>
        <v>ENG006</v>
      </c>
      <c r="C33" s="6">
        <f>Invoices!C33</f>
        <v>46177</v>
      </c>
      <c r="D33" s="6">
        <f>Invoices!D33</f>
        <v>46207</v>
      </c>
      <c r="E33" s="5">
        <f>IF(Invoices!E33="","",Invoices!E33)</f>
        <v>643000</v>
      </c>
      <c r="F33" s="5" t="str">
        <f t="array" ref="F33">_xlfn.XLOOKUP(B33,Engagement_Master!$A:$A,Engagement_Master!$B:$B,"NOT FOUND")</f>
        <v>Fulcrum Motors Ltd</v>
      </c>
      <c r="G33" s="5" t="str">
        <f t="array" ref="G33">_xlfn.XLOOKUP(B33,Engagement_Master!$A:$A,Engagement_Master!$C:$C,"NOT FOUND")</f>
        <v>Tax</v>
      </c>
      <c r="H33" s="5" t="str">
        <f t="array" ref="H33">_xlfn.XLOOKUP(B33,Engagement_Master!$A:$A,Engagement_Master!$D:$D,"NOT FOUND")</f>
        <v>Rohit Sharma</v>
      </c>
      <c r="I33" s="5">
        <f>SUMIFS(Collections!$D:$D,Collections!$B:$B,A33)</f>
        <v>0</v>
      </c>
      <c r="J33" s="5">
        <f t="shared" si="1"/>
        <v>643000</v>
      </c>
      <c r="K33" s="5">
        <f>IF(J33="","",IF(J33&lt;=0,0,MAX(0,Control!$B$1-D33)))</f>
        <v>88</v>
      </c>
      <c r="L33" s="5" t="str">
        <f t="shared" si="2"/>
        <v>61-90</v>
      </c>
      <c r="M33" s="5" t="str">
        <f t="shared" si="3"/>
        <v>2026-06</v>
      </c>
    </row>
    <row r="34">
      <c r="A34" s="5" t="str">
        <f>Invoices!A34</f>
        <v>INV-26-0095</v>
      </c>
      <c r="B34" s="5" t="str">
        <f>Invoices!B34</f>
        <v>ENG024</v>
      </c>
      <c r="C34" s="6">
        <f>Invoices!C34</f>
        <v>46178</v>
      </c>
      <c r="D34" s="6">
        <f>Invoices!D34</f>
        <v>46208</v>
      </c>
      <c r="E34" s="5">
        <f>IF(Invoices!E34="","",Invoices!E34)</f>
        <v>604000</v>
      </c>
      <c r="F34" s="5" t="str">
        <f t="array" ref="F34">_xlfn.XLOOKUP(B34,Engagement_Master!$A:$A,Engagement_Master!$B:$B,"NOT FOUND")</f>
        <v>Zenith Foods Pvt Ltd</v>
      </c>
      <c r="G34" s="5" t="str">
        <f t="array" ref="G34">_xlfn.XLOOKUP(B34,Engagement_Master!$A:$A,Engagement_Master!$C:$C,"NOT FOUND")</f>
        <v>Risk Advisory</v>
      </c>
      <c r="H34" s="5" t="str">
        <f t="array" ref="H34">_xlfn.XLOOKUP(B34,Engagement_Master!$A:$A,Engagement_Master!$D:$D,"NOT FOUND")</f>
        <v>Meera Joshi</v>
      </c>
      <c r="I34" s="5">
        <f>SUMIFS(Collections!$D:$D,Collections!$B:$B,A34)</f>
        <v>604000</v>
      </c>
      <c r="J34" s="5">
        <f t="shared" si="1"/>
        <v>0</v>
      </c>
      <c r="K34" s="5">
        <f>IF(J34="","",IF(J34&lt;=0,0,MAX(0,Control!$B$1-D34)))</f>
        <v>0</v>
      </c>
      <c r="L34" s="5" t="str">
        <f t="shared" si="2"/>
        <v>Paid</v>
      </c>
      <c r="M34" s="5" t="str">
        <f t="shared" si="3"/>
        <v>2026-06</v>
      </c>
    </row>
    <row r="35">
      <c r="A35" s="5" t="str">
        <f>Invoices!A35</f>
        <v>INV-26-0098</v>
      </c>
      <c r="B35" s="5" t="str">
        <f>Invoices!B35</f>
        <v>ENG025</v>
      </c>
      <c r="C35" s="6">
        <f>Invoices!C35</f>
        <v>46178</v>
      </c>
      <c r="D35" s="6">
        <f>Invoices!D35</f>
        <v>46208</v>
      </c>
      <c r="E35" s="5">
        <f>IF(Invoices!E35="","",Invoices!E35)</f>
        <v>953000</v>
      </c>
      <c r="F35" s="5" t="str">
        <f t="array" ref="F35">_xlfn.XLOOKUP(B35,Engagement_Master!$A:$A,Engagement_Master!$B:$B,"NOT FOUND")</f>
        <v>Aurora Industries Ltd</v>
      </c>
      <c r="G35" s="5" t="str">
        <f t="array" ref="G35">_xlfn.XLOOKUP(B35,Engagement_Master!$A:$A,Engagement_Master!$C:$C,"NOT FOUND")</f>
        <v>Audit</v>
      </c>
      <c r="H35" s="5" t="str">
        <f t="array" ref="H35">_xlfn.XLOOKUP(B35,Engagement_Master!$A:$A,Engagement_Master!$D:$D,"NOT FOUND")</f>
        <v>Anil Mehta</v>
      </c>
      <c r="I35" s="5">
        <f>SUMIFS(Collections!$D:$D,Collections!$B:$B,A35)</f>
        <v>953000</v>
      </c>
      <c r="J35" s="5">
        <f t="shared" si="1"/>
        <v>0</v>
      </c>
      <c r="K35" s="5">
        <f>IF(J35="","",IF(J35&lt;=0,0,MAX(0,Control!$B$1-D35)))</f>
        <v>0</v>
      </c>
      <c r="L35" s="5" t="str">
        <f t="shared" si="2"/>
        <v>Paid</v>
      </c>
      <c r="M35" s="5" t="str">
        <f t="shared" si="3"/>
        <v>2026-06</v>
      </c>
    </row>
    <row r="36">
      <c r="A36" s="5" t="str">
        <f>Invoices!A36</f>
        <v>INV-26-0075</v>
      </c>
      <c r="B36" s="5" t="str">
        <f>Invoices!B36</f>
        <v>ENG019</v>
      </c>
      <c r="C36" s="6">
        <f>Invoices!C36</f>
        <v>46179</v>
      </c>
      <c r="D36" s="6">
        <f>Invoices!D36</f>
        <v>46239</v>
      </c>
      <c r="E36" s="5">
        <f>IF(Invoices!E36="","",Invoices!E36)</f>
        <v>1640000</v>
      </c>
      <c r="F36" s="5" t="str">
        <f t="array" ref="F36">_xlfn.XLOOKUP(B36,Engagement_Master!$A:$A,Engagement_Master!$B:$B,"NOT FOUND")</f>
        <v>Saffron Finance Ltd</v>
      </c>
      <c r="G36" s="5" t="str">
        <f t="array" ref="G36">_xlfn.XLOOKUP(B36,Engagement_Master!$A:$A,Engagement_Master!$C:$C,"NOT FOUND")</f>
        <v>Consulting</v>
      </c>
      <c r="H36" s="5" t="str">
        <f t="array" ref="H36">_xlfn.XLOOKUP(B36,Engagement_Master!$A:$A,Engagement_Master!$D:$D,"NOT FOUND")</f>
        <v>Priya Nair</v>
      </c>
      <c r="I36" s="5">
        <f>SUMIFS(Collections!$D:$D,Collections!$B:$B,A36)</f>
        <v>1640000</v>
      </c>
      <c r="J36" s="5">
        <f t="shared" si="1"/>
        <v>0</v>
      </c>
      <c r="K36" s="5">
        <f>IF(J36="","",IF(J36&lt;=0,0,MAX(0,Control!$B$1-D36)))</f>
        <v>0</v>
      </c>
      <c r="L36" s="5" t="str">
        <f t="shared" si="2"/>
        <v>Paid</v>
      </c>
      <c r="M36" s="5" t="str">
        <f t="shared" si="3"/>
        <v>2026-06</v>
      </c>
    </row>
    <row r="37">
      <c r="A37" s="5" t="str">
        <f>Invoices!A37</f>
        <v>INV-26-0137</v>
      </c>
      <c r="B37" s="5" t="str">
        <f>Invoices!B37</f>
        <v>ENG034</v>
      </c>
      <c r="C37" s="6">
        <f>Invoices!C37</f>
        <v>46181</v>
      </c>
      <c r="D37" s="6">
        <f>Invoices!D37</f>
        <v>46211</v>
      </c>
      <c r="E37" s="5">
        <f>IF(Invoices!E37="","",Invoices!E37)</f>
        <v>1219000</v>
      </c>
      <c r="F37" s="5" t="str">
        <f t="array" ref="F37">_xlfn.XLOOKUP(B37,Engagement_Master!$A:$A,Engagement_Master!$B:$B,"NOT FOUND")</f>
        <v>Juniper Pharma Pvt Ltd</v>
      </c>
      <c r="G37" s="5" t="str">
        <f t="array" ref="G37">_xlfn.XLOOKUP(B37,Engagement_Master!$A:$A,Engagement_Master!$C:$C,"NOT FOUND")</f>
        <v>Tax</v>
      </c>
      <c r="H37" s="5" t="str">
        <f t="array" ref="H37">_xlfn.XLOOKUP(B37,Engagement_Master!$A:$A,Engagement_Master!$D:$D,"NOT FOUND")</f>
        <v>Neha Kapoor</v>
      </c>
      <c r="I37" s="5">
        <f>SUMIFS(Collections!$D:$D,Collections!$B:$B,A37)</f>
        <v>1219000</v>
      </c>
      <c r="J37" s="5">
        <f t="shared" si="1"/>
        <v>0</v>
      </c>
      <c r="K37" s="5">
        <f>IF(J37="","",IF(J37&lt;=0,0,MAX(0,Control!$B$1-D37)))</f>
        <v>0</v>
      </c>
      <c r="L37" s="5" t="str">
        <f t="shared" si="2"/>
        <v>Paid</v>
      </c>
      <c r="M37" s="5" t="str">
        <f t="shared" si="3"/>
        <v>2026-06</v>
      </c>
    </row>
    <row r="38">
      <c r="A38" s="5" t="str">
        <f>Invoices!A38</f>
        <v>INV-26-0103</v>
      </c>
      <c r="B38" s="5" t="str">
        <f>Invoices!B38</f>
        <v>ENG026</v>
      </c>
      <c r="C38" s="6">
        <f>Invoices!C38</f>
        <v>46183</v>
      </c>
      <c r="D38" s="6">
        <f>Invoices!D38</f>
        <v>46243</v>
      </c>
      <c r="E38" s="5">
        <f>IF(Invoices!E38="","",Invoices!E38)</f>
        <v>1300000</v>
      </c>
      <c r="F38" s="5" t="str">
        <f t="array" ref="F38">_xlfn.XLOOKUP(B38,Engagement_Master!$A:$A,Engagement_Master!$B:$B,"NOT FOUND")</f>
        <v>Banyan Pharma Pvt Ltd</v>
      </c>
      <c r="G38" s="5" t="str">
        <f t="array" ref="G38">_xlfn.XLOOKUP(B38,Engagement_Master!$A:$A,Engagement_Master!$C:$C,"NOT FOUND")</f>
        <v>Tax</v>
      </c>
      <c r="H38" s="5" t="str">
        <f t="array" ref="H38">_xlfn.XLOOKUP(B38,Engagement_Master!$A:$A,Engagement_Master!$D:$D,"NOT FOUND")</f>
        <v>Neha Kapoor</v>
      </c>
      <c r="I38" s="5">
        <f>SUMIFS(Collections!$D:$D,Collections!$B:$B,A38)</f>
        <v>1300000</v>
      </c>
      <c r="J38" s="5">
        <f t="shared" si="1"/>
        <v>0</v>
      </c>
      <c r="K38" s="5">
        <f>IF(J38="","",IF(J38&lt;=0,0,MAX(0,Control!$B$1-D38)))</f>
        <v>0</v>
      </c>
      <c r="L38" s="5" t="str">
        <f t="shared" si="2"/>
        <v>Paid</v>
      </c>
      <c r="M38" s="5" t="str">
        <f t="shared" si="3"/>
        <v>2026-06</v>
      </c>
    </row>
    <row r="39">
      <c r="A39" s="5" t="str">
        <f>Invoices!A39</f>
        <v>INV-26-0115</v>
      </c>
      <c r="B39" s="5" t="str">
        <f>Invoices!B39</f>
        <v>ENG029</v>
      </c>
      <c r="C39" s="6">
        <f>Invoices!C39</f>
        <v>46183</v>
      </c>
      <c r="D39" s="6">
        <f>Invoices!D39</f>
        <v>46213</v>
      </c>
      <c r="E39" s="5">
        <f>IF(Invoices!E39="","",Invoices!E39)</f>
        <v>643000</v>
      </c>
      <c r="F39" s="5" t="str">
        <f t="array" ref="F39">_xlfn.XLOOKUP(B39,Engagement_Master!$A:$A,Engagement_Master!$B:$B,"NOT FOUND")</f>
        <v>Ember Infotech Pvt Ltd</v>
      </c>
      <c r="G39" s="5" t="str">
        <f t="array" ref="G39">_xlfn.XLOOKUP(B39,Engagement_Master!$A:$A,Engagement_Master!$C:$C,"NOT FOUND")</f>
        <v>Audit</v>
      </c>
      <c r="H39" s="5" t="str">
        <f t="array" ref="H39">_xlfn.XLOOKUP(B39,Engagement_Master!$A:$A,Engagement_Master!$D:$D,"NOT FOUND")</f>
        <v>Kavita Rao</v>
      </c>
      <c r="I39" s="5">
        <f>SUMIFS(Collections!$D:$D,Collections!$B:$B,A39)</f>
        <v>643000</v>
      </c>
      <c r="J39" s="5">
        <f t="shared" si="1"/>
        <v>0</v>
      </c>
      <c r="K39" s="5">
        <f>IF(J39="","",IF(J39&lt;=0,0,MAX(0,Control!$B$1-D39)))</f>
        <v>0</v>
      </c>
      <c r="L39" s="5" t="str">
        <f t="shared" si="2"/>
        <v>Paid</v>
      </c>
      <c r="M39" s="5" t="str">
        <f t="shared" si="3"/>
        <v>2026-06</v>
      </c>
    </row>
    <row r="40">
      <c r="A40" s="5" t="str">
        <f>Invoices!A40</f>
        <v>INV-26-0141</v>
      </c>
      <c r="B40" s="5" t="str">
        <f>Invoices!B40</f>
        <v>ENG035</v>
      </c>
      <c r="C40" s="6">
        <f>Invoices!C40</f>
        <v>46183</v>
      </c>
      <c r="D40" s="6">
        <f>Invoices!D40</f>
        <v>46243</v>
      </c>
      <c r="E40" s="5">
        <f>IF(Invoices!E40="","",Invoices!E40)</f>
        <v>221000</v>
      </c>
      <c r="F40" s="5" t="str">
        <f t="array" ref="F40">_xlfn.XLOOKUP(B40,Engagement_Master!$A:$A,Engagement_Master!$B:$B,"NOT FOUND")</f>
        <v>Krypton Finance Ltd</v>
      </c>
      <c r="G40" s="5" t="str">
        <f t="array" ref="G40">_xlfn.XLOOKUP(B40,Engagement_Master!$A:$A,Engagement_Master!$C:$C,"NOT FOUND")</f>
        <v>Consulting</v>
      </c>
      <c r="H40" s="5" t="str">
        <f t="array" ref="H40">_xlfn.XLOOKUP(B40,Engagement_Master!$A:$A,Engagement_Master!$D:$D,"NOT FOUND")</f>
        <v>Priya Nair</v>
      </c>
      <c r="I40" s="5">
        <f>SUMIFS(Collections!$D:$D,Collections!$B:$B,A40)</f>
        <v>0</v>
      </c>
      <c r="J40" s="5">
        <f t="shared" si="1"/>
        <v>221000</v>
      </c>
      <c r="K40" s="5">
        <f>IF(J40="","",IF(J40&lt;=0,0,MAX(0,Control!$B$1-D40)))</f>
        <v>52</v>
      </c>
      <c r="L40" s="5" t="str">
        <f t="shared" si="2"/>
        <v>31-60</v>
      </c>
      <c r="M40" s="5" t="str">
        <f t="shared" si="3"/>
        <v>2026-06</v>
      </c>
    </row>
    <row r="41">
      <c r="A41" s="5" t="str">
        <f>Invoices!A41</f>
        <v>INV-26-0035</v>
      </c>
      <c r="B41" s="5" t="str">
        <f>Invoices!B41</f>
        <v>ENG009</v>
      </c>
      <c r="C41" s="6">
        <f>Invoices!C41</f>
        <v>46183</v>
      </c>
      <c r="D41" s="6">
        <f>Invoices!D41</f>
        <v>46243</v>
      </c>
      <c r="E41" s="5">
        <f>IF(Invoices!E41="","",Invoices!E41)</f>
        <v>780000</v>
      </c>
      <c r="F41" s="5" t="str">
        <f t="array" ref="F41">_xlfn.XLOOKUP(B41,Engagement_Master!$A:$A,Engagement_Master!$B:$B,"NOT FOUND")</f>
        <v>Indus Industries Ltd</v>
      </c>
      <c r="G41" s="5" t="str">
        <f t="array" ref="G41">_xlfn.XLOOKUP(B41,Engagement_Master!$A:$A,Engagement_Master!$C:$C,"NOT FOUND")</f>
        <v>Audit</v>
      </c>
      <c r="H41" s="5" t="str">
        <f t="array" ref="H41">_xlfn.XLOOKUP(B41,Engagement_Master!$A:$A,Engagement_Master!$D:$D,"NOT FOUND")</f>
        <v>Kavita Rao</v>
      </c>
      <c r="I41" s="5">
        <f>SUMIFS(Collections!$D:$D,Collections!$B:$B,A41)</f>
        <v>780000</v>
      </c>
      <c r="J41" s="5">
        <f t="shared" si="1"/>
        <v>0</v>
      </c>
      <c r="K41" s="5">
        <f>IF(J41="","",IF(J41&lt;=0,0,MAX(0,Control!$B$1-D41)))</f>
        <v>0</v>
      </c>
      <c r="L41" s="5" t="str">
        <f t="shared" si="2"/>
        <v>Paid</v>
      </c>
      <c r="M41" s="5" t="str">
        <f t="shared" si="3"/>
        <v>2026-06</v>
      </c>
    </row>
    <row r="42">
      <c r="A42" s="5" t="str">
        <f>Invoices!A42</f>
        <v>INV-26-0043</v>
      </c>
      <c r="B42" s="5" t="str">
        <f>Invoices!B42</f>
        <v>ENG011</v>
      </c>
      <c r="C42" s="6">
        <f>Invoices!C42</f>
        <v>46183</v>
      </c>
      <c r="D42" s="6">
        <f>Invoices!D42</f>
        <v>46213</v>
      </c>
      <c r="E42" s="5">
        <f>IF(Invoices!E42="","",Invoices!E42)</f>
        <v>1040000</v>
      </c>
      <c r="F42" s="5" t="str">
        <f t="array" ref="F42">_xlfn.XLOOKUP(B42,Engagement_Master!$A:$A,Engagement_Master!$B:$B,"NOT FOUND")</f>
        <v>Kestrel Finance Ltd</v>
      </c>
      <c r="G42" s="5" t="str">
        <f t="array" ref="G42">_xlfn.XLOOKUP(B42,Engagement_Master!$A:$A,Engagement_Master!$C:$C,"NOT FOUND")</f>
        <v>Consulting</v>
      </c>
      <c r="H42" s="5" t="str">
        <f t="array" ref="H42">_xlfn.XLOOKUP(B42,Engagement_Master!$A:$A,Engagement_Master!$D:$D,"NOT FOUND")</f>
        <v>Vikram Iyer</v>
      </c>
      <c r="I42" s="5">
        <f>SUMIFS(Collections!$D:$D,Collections!$B:$B,A42)</f>
        <v>1040000</v>
      </c>
      <c r="J42" s="5">
        <f t="shared" si="1"/>
        <v>0</v>
      </c>
      <c r="K42" s="5">
        <f>IF(J42="","",IF(J42&lt;=0,0,MAX(0,Control!$B$1-D42)))</f>
        <v>0</v>
      </c>
      <c r="L42" s="5" t="str">
        <f t="shared" si="2"/>
        <v>Paid</v>
      </c>
      <c r="M42" s="5" t="str">
        <f t="shared" si="3"/>
        <v>2026-06</v>
      </c>
    </row>
    <row r="43">
      <c r="A43" s="5" t="str">
        <f>Invoices!A43</f>
        <v>INV-26-0163</v>
      </c>
      <c r="B43" s="5" t="str">
        <f>Invoices!B43</f>
        <v>ENG040</v>
      </c>
      <c r="C43" s="6">
        <f>Invoices!C43</f>
        <v>46184</v>
      </c>
      <c r="D43" s="6">
        <f>Invoices!D43</f>
        <v>46214</v>
      </c>
      <c r="E43" s="5">
        <f>IF(Invoices!E43="","",Invoices!E43)</f>
        <v>1123000</v>
      </c>
      <c r="F43" s="5" t="str">
        <f t="array" ref="F43">_xlfn.XLOOKUP(B43,Engagement_Master!$A:$A,Engagement_Master!$B:$B,"NOT FOUND")</f>
        <v>Pioneer Foods Pvt Ltd</v>
      </c>
      <c r="G43" s="5" t="str">
        <f t="array" ref="G43">_xlfn.XLOOKUP(B43,Engagement_Master!$A:$A,Engagement_Master!$C:$C,"NOT FOUND")</f>
        <v>Risk Advisory</v>
      </c>
      <c r="H43" s="5" t="str">
        <f t="array" ref="H43">_xlfn.XLOOKUP(B43,Engagement_Master!$A:$A,Engagement_Master!$D:$D,"NOT FOUND")</f>
        <v>Sanjay Gupta</v>
      </c>
      <c r="I43" s="5">
        <f>SUMIFS(Collections!$D:$D,Collections!$B:$B,A43)</f>
        <v>1123000</v>
      </c>
      <c r="J43" s="5">
        <f t="shared" si="1"/>
        <v>0</v>
      </c>
      <c r="K43" s="5">
        <f>IF(J43="","",IF(J43&lt;=0,0,MAX(0,Control!$B$1-D43)))</f>
        <v>0</v>
      </c>
      <c r="L43" s="5" t="str">
        <f t="shared" si="2"/>
        <v>Paid</v>
      </c>
      <c r="M43" s="5" t="str">
        <f t="shared" si="3"/>
        <v>2026-06</v>
      </c>
    </row>
    <row r="44">
      <c r="A44" s="5" t="str">
        <f>Invoices!A44</f>
        <v>INV-26-0067</v>
      </c>
      <c r="B44" s="5" t="str">
        <f>Invoices!B44</f>
        <v>ENG017</v>
      </c>
      <c r="C44" s="6">
        <f>Invoices!C44</f>
        <v>46184</v>
      </c>
      <c r="D44" s="6">
        <f>Invoices!D44</f>
        <v>46229</v>
      </c>
      <c r="E44" s="5">
        <f>IF(Invoices!E44="","",Invoices!E44)</f>
        <v>289000</v>
      </c>
      <c r="F44" s="5" t="str">
        <f t="array" ref="F44">_xlfn.XLOOKUP(B44,Engagement_Master!$A:$A,Engagement_Master!$B:$B,"NOT FOUND")</f>
        <v>Quantum Industries Ltd</v>
      </c>
      <c r="G44" s="5" t="str">
        <f t="array" ref="G44">_xlfn.XLOOKUP(B44,Engagement_Master!$A:$A,Engagement_Master!$C:$C,"NOT FOUND")</f>
        <v>Audit</v>
      </c>
      <c r="H44" s="5" t="str">
        <f t="array" ref="H44">_xlfn.XLOOKUP(B44,Engagement_Master!$A:$A,Engagement_Master!$D:$D,"NOT FOUND")</f>
        <v>Anil Mehta</v>
      </c>
      <c r="I44" s="5">
        <f>SUMIFS(Collections!$D:$D,Collections!$B:$B,A44)</f>
        <v>289000</v>
      </c>
      <c r="J44" s="5">
        <f t="shared" si="1"/>
        <v>0</v>
      </c>
      <c r="K44" s="5">
        <f>IF(J44="","",IF(J44&lt;=0,0,MAX(0,Control!$B$1-D44)))</f>
        <v>0</v>
      </c>
      <c r="L44" s="5" t="str">
        <f t="shared" si="2"/>
        <v>Paid</v>
      </c>
      <c r="M44" s="5" t="str">
        <f t="shared" si="3"/>
        <v>2026-06</v>
      </c>
    </row>
    <row r="45">
      <c r="A45" s="5" t="str">
        <f>Invoices!A45</f>
        <v>INV-26-0071</v>
      </c>
      <c r="B45" s="5" t="str">
        <f>Invoices!B45</f>
        <v>ENG018</v>
      </c>
      <c r="C45" s="6">
        <f>Invoices!C45</f>
        <v>46184</v>
      </c>
      <c r="D45" s="6">
        <f>Invoices!D45</f>
        <v>46214</v>
      </c>
      <c r="E45" s="5">
        <f>IF(Invoices!E45="","",Invoices!E45)</f>
        <v>1490000</v>
      </c>
      <c r="F45" s="5" t="str">
        <f t="array" ref="F45">_xlfn.XLOOKUP(B45,Engagement_Master!$A:$A,Engagement_Master!$B:$B,"NOT FOUND")</f>
        <v>Redwood Pharma Pvt Ltd</v>
      </c>
      <c r="G45" s="5" t="str">
        <f t="array" ref="G45">_xlfn.XLOOKUP(B45,Engagement_Master!$A:$A,Engagement_Master!$C:$C,"NOT FOUND")</f>
        <v>Tax</v>
      </c>
      <c r="H45" s="5" t="str">
        <f t="array" ref="H45">_xlfn.XLOOKUP(B45,Engagement_Master!$A:$A,Engagement_Master!$D:$D,"NOT FOUND")</f>
        <v>Neha Kapoor</v>
      </c>
      <c r="I45" s="5">
        <f>SUMIFS(Collections!$D:$D,Collections!$B:$B,A45)</f>
        <v>1490000</v>
      </c>
      <c r="J45" s="5">
        <f t="shared" si="1"/>
        <v>0</v>
      </c>
      <c r="K45" s="5">
        <f>IF(J45="","",IF(J45&lt;=0,0,MAX(0,Control!$B$1-D45)))</f>
        <v>0</v>
      </c>
      <c r="L45" s="5" t="str">
        <f t="shared" si="2"/>
        <v>Paid</v>
      </c>
      <c r="M45" s="5" t="str">
        <f t="shared" si="3"/>
        <v>2026-06</v>
      </c>
    </row>
    <row r="46">
      <c r="A46" s="5" t="str">
        <f>Invoices!A46</f>
        <v>INV-26-0054</v>
      </c>
      <c r="B46" s="5" t="str">
        <f>Invoices!B46</f>
        <v>ENG014</v>
      </c>
      <c r="C46" s="6">
        <f>Invoices!C46</f>
        <v>46184</v>
      </c>
      <c r="D46" s="6">
        <f>Invoices!D46</f>
        <v>46214</v>
      </c>
      <c r="E46" s="5">
        <f>IF(Invoices!E46="","",Invoices!E46)</f>
        <v>561000</v>
      </c>
      <c r="F46" s="5" t="str">
        <f t="array" ref="F46">_xlfn.XLOOKUP(B46,Engagement_Master!$A:$A,Engagement_Master!$B:$B,"NOT FOUND")</f>
        <v>Nimbus Motors Ltd</v>
      </c>
      <c r="G46" s="5" t="str">
        <f t="array" ref="G46">_xlfn.XLOOKUP(B46,Engagement_Master!$A:$A,Engagement_Master!$C:$C,"NOT FOUND")</f>
        <v>Tax</v>
      </c>
      <c r="H46" s="5" t="str">
        <f t="array" ref="H46">_xlfn.XLOOKUP(B46,Engagement_Master!$A:$A,Engagement_Master!$D:$D,"NOT FOUND")</f>
        <v>Neha Kapoor</v>
      </c>
      <c r="I46" s="5">
        <f>SUMIFS(Collections!$D:$D,Collections!$B:$B,A46)</f>
        <v>239000</v>
      </c>
      <c r="J46" s="5">
        <f t="shared" si="1"/>
        <v>322000</v>
      </c>
      <c r="K46" s="5">
        <f>IF(J46="","",IF(J46&lt;=0,0,MAX(0,Control!$B$1-D46)))</f>
        <v>81</v>
      </c>
      <c r="L46" s="5" t="str">
        <f t="shared" si="2"/>
        <v>61-90</v>
      </c>
      <c r="M46" s="5" t="str">
        <f t="shared" si="3"/>
        <v>2026-06</v>
      </c>
    </row>
    <row r="47">
      <c r="A47" s="5" t="str">
        <f>Invoices!A47</f>
        <v>INV-26-0154</v>
      </c>
      <c r="B47" s="5" t="str">
        <f>Invoices!B47</f>
        <v>ENG038</v>
      </c>
      <c r="C47" s="6">
        <f>Invoices!C47</f>
        <v>46185</v>
      </c>
      <c r="D47" s="6">
        <f>Invoices!D47</f>
        <v>46230</v>
      </c>
      <c r="E47" s="5">
        <f>IF(Invoices!E47="","",Invoices!E47)</f>
        <v>828000</v>
      </c>
      <c r="F47" s="5" t="str">
        <f t="array" ref="F47">_xlfn.XLOOKUP(B47,Engagement_Master!$A:$A,Engagement_Master!$B:$B,"NOT FOUND")</f>
        <v>Nova Motors Ltd</v>
      </c>
      <c r="G47" s="5" t="str">
        <f t="array" ref="G47">_xlfn.XLOOKUP(B47,Engagement_Master!$A:$A,Engagement_Master!$C:$C,"NOT FOUND")</f>
        <v>Tax</v>
      </c>
      <c r="H47" s="5" t="str">
        <f t="array" ref="H47">_xlfn.XLOOKUP(B47,Engagement_Master!$A:$A,Engagement_Master!$D:$D,"NOT FOUND")</f>
        <v>Neha Kapoor</v>
      </c>
      <c r="I47" s="5">
        <f>SUMIFS(Collections!$D:$D,Collections!$B:$B,A47)</f>
        <v>828000</v>
      </c>
      <c r="J47" s="5">
        <f t="shared" si="1"/>
        <v>0</v>
      </c>
      <c r="K47" s="5">
        <f>IF(J47="","",IF(J47&lt;=0,0,MAX(0,Control!$B$1-D47)))</f>
        <v>0</v>
      </c>
      <c r="L47" s="5" t="str">
        <f t="shared" si="2"/>
        <v>Paid</v>
      </c>
      <c r="M47" s="5" t="str">
        <f t="shared" si="3"/>
        <v>2026-06</v>
      </c>
    </row>
    <row r="48">
      <c r="A48" s="5" t="str">
        <f>Invoices!A48</f>
        <v>INV-26-0091</v>
      </c>
      <c r="B48" s="5" t="str">
        <f>Invoices!B48</f>
        <v>ENG023</v>
      </c>
      <c r="C48" s="6">
        <f>Invoices!C48</f>
        <v>46185</v>
      </c>
      <c r="D48" s="6">
        <f>Invoices!D48</f>
        <v>46245</v>
      </c>
      <c r="E48" s="5">
        <f>IF(Invoices!E48="","",Invoices!E48)</f>
        <v>208000</v>
      </c>
      <c r="F48" s="5" t="str">
        <f t="array" ref="F48">_xlfn.XLOOKUP(B48,Engagement_Master!$A:$A,Engagement_Master!$B:$B,"NOT FOUND")</f>
        <v>Westbrook Energy Ltd</v>
      </c>
      <c r="G48" s="5" t="str">
        <f t="array" ref="G48">_xlfn.XLOOKUP(B48,Engagement_Master!$A:$A,Engagement_Master!$C:$C,"NOT FOUND")</f>
        <v>Consulting</v>
      </c>
      <c r="H48" s="5" t="str">
        <f t="array" ref="H48">_xlfn.XLOOKUP(B48,Engagement_Master!$A:$A,Engagement_Master!$D:$D,"NOT FOUND")</f>
        <v>Priya Nair</v>
      </c>
      <c r="I48" s="5">
        <f>SUMIFS(Collections!$D:$D,Collections!$B:$B,A48)</f>
        <v>0</v>
      </c>
      <c r="J48" s="5">
        <f t="shared" si="1"/>
        <v>208000</v>
      </c>
      <c r="K48" s="5">
        <f>IF(J48="","",IF(J48&lt;=0,0,MAX(0,Control!$B$1-D48)))</f>
        <v>50</v>
      </c>
      <c r="L48" s="5" t="str">
        <f t="shared" si="2"/>
        <v>31-60</v>
      </c>
      <c r="M48" s="5" t="str">
        <f t="shared" si="3"/>
        <v>2026-06</v>
      </c>
    </row>
    <row r="49">
      <c r="A49" s="5" t="str">
        <f>Invoices!A49</f>
        <v>INV-26-0112</v>
      </c>
      <c r="B49" s="5" t="str">
        <f>Invoices!B49</f>
        <v>ENG028</v>
      </c>
      <c r="C49" s="6">
        <f>Invoices!C49</f>
        <v>46186</v>
      </c>
      <c r="D49" s="6">
        <f>Invoices!D49</f>
        <v>46246</v>
      </c>
      <c r="E49" s="5">
        <f>IF(Invoices!E49="","",Invoices!E49)</f>
        <v>832000</v>
      </c>
      <c r="F49" s="5" t="str">
        <f t="array" ref="F49">_xlfn.XLOOKUP(B49,Engagement_Master!$A:$A,Engagement_Master!$B:$B,"NOT FOUND")</f>
        <v>Delta Retail Ltd</v>
      </c>
      <c r="G49" s="5" t="str">
        <f t="array" ref="G49">_xlfn.XLOOKUP(B49,Engagement_Master!$A:$A,Engagement_Master!$C:$C,"NOT FOUND")</f>
        <v>Risk Advisory</v>
      </c>
      <c r="H49" s="5" t="str">
        <f t="array" ref="H49">_xlfn.XLOOKUP(B49,Engagement_Master!$A:$A,Engagement_Master!$D:$D,"NOT FOUND")</f>
        <v>Meera Joshi</v>
      </c>
      <c r="I49" s="5">
        <f>SUMIFS(Collections!$D:$D,Collections!$B:$B,A49)</f>
        <v>0</v>
      </c>
      <c r="J49" s="5">
        <f t="shared" si="1"/>
        <v>832000</v>
      </c>
      <c r="K49" s="5">
        <f>IF(J49="","",IF(J49&lt;=0,0,MAX(0,Control!$B$1-D49)))</f>
        <v>49</v>
      </c>
      <c r="L49" s="5" t="str">
        <f t="shared" si="2"/>
        <v>31-60</v>
      </c>
      <c r="M49" s="5" t="str">
        <f t="shared" si="3"/>
        <v>2026-06</v>
      </c>
    </row>
    <row r="50">
      <c r="A50" s="5" t="str">
        <f>Invoices!A50</f>
        <v>INV-26-0026</v>
      </c>
      <c r="B50" s="5" t="str">
        <f>Invoices!B50</f>
        <v>ENG007</v>
      </c>
      <c r="C50" s="6">
        <f>Invoices!C50</f>
        <v>46186</v>
      </c>
      <c r="D50" s="6">
        <f>Invoices!D50</f>
        <v>46246</v>
      </c>
      <c r="E50" s="5">
        <f>IF(Invoices!E50="","",Invoices!E50)</f>
        <v>1367000</v>
      </c>
      <c r="F50" s="5" t="str">
        <f t="array" ref="F50">_xlfn.XLOOKUP(B50,Engagement_Master!$A:$A,Engagement_Master!$B:$B,"NOT FOUND")</f>
        <v>Granite Energy Ltd</v>
      </c>
      <c r="G50" s="5" t="str">
        <f t="array" ref="G50">_xlfn.XLOOKUP(B50,Engagement_Master!$A:$A,Engagement_Master!$C:$C,"NOT FOUND")</f>
        <v>Consulting</v>
      </c>
      <c r="H50" s="5" t="str">
        <f t="array" ref="H50">_xlfn.XLOOKUP(B50,Engagement_Master!$A:$A,Engagement_Master!$D:$D,"NOT FOUND")</f>
        <v>Vikram Iyer</v>
      </c>
      <c r="I50" s="5">
        <f>SUMIFS(Collections!$D:$D,Collections!$B:$B,A50)</f>
        <v>0</v>
      </c>
      <c r="J50" s="5">
        <f t="shared" si="1"/>
        <v>1367000</v>
      </c>
      <c r="K50" s="5">
        <f>IF(J50="","",IF(J50&lt;=0,0,MAX(0,Control!$B$1-D50)))</f>
        <v>49</v>
      </c>
      <c r="L50" s="5" t="str">
        <f t="shared" si="2"/>
        <v>31-60</v>
      </c>
      <c r="M50" s="5" t="str">
        <f t="shared" si="3"/>
        <v>2026-06</v>
      </c>
    </row>
    <row r="51">
      <c r="A51" s="5" t="str">
        <f>Invoices!A51</f>
        <v>INV-26-0047</v>
      </c>
      <c r="B51" s="5" t="str">
        <f>Invoices!B51</f>
        <v>ENG012</v>
      </c>
      <c r="C51" s="6">
        <f>Invoices!C51</f>
        <v>46187</v>
      </c>
      <c r="D51" s="6">
        <f>Invoices!D51</f>
        <v>46217</v>
      </c>
      <c r="E51" s="5">
        <f>IF(Invoices!E51="","",Invoices!E51)</f>
        <v>491000</v>
      </c>
      <c r="F51" s="5" t="str">
        <f t="array" ref="F51">_xlfn.XLOOKUP(B51,Engagement_Master!$A:$A,Engagement_Master!$B:$B,"NOT FOUND")</f>
        <v>Lotus Retail Ltd</v>
      </c>
      <c r="G51" s="5" t="str">
        <f t="array" ref="G51">_xlfn.XLOOKUP(B51,Engagement_Master!$A:$A,Engagement_Master!$C:$C,"NOT FOUND")</f>
        <v>Risk Advisory</v>
      </c>
      <c r="H51" s="5" t="str">
        <f t="array" ref="H51">_xlfn.XLOOKUP(B51,Engagement_Master!$A:$A,Engagement_Master!$D:$D,"NOT FOUND")</f>
        <v>Meera Joshi</v>
      </c>
      <c r="I51" s="5">
        <f>SUMIFS(Collections!$D:$D,Collections!$B:$B,A51)</f>
        <v>491000</v>
      </c>
      <c r="J51" s="5">
        <f t="shared" si="1"/>
        <v>0</v>
      </c>
      <c r="K51" s="5">
        <f>IF(J51="","",IF(J51&lt;=0,0,MAX(0,Control!$B$1-D51)))</f>
        <v>0</v>
      </c>
      <c r="L51" s="5" t="str">
        <f t="shared" si="2"/>
        <v>Paid</v>
      </c>
      <c r="M51" s="5" t="str">
        <f t="shared" si="3"/>
        <v>2026-06</v>
      </c>
    </row>
    <row r="52">
      <c r="A52" s="5" t="str">
        <f>Invoices!A52</f>
        <v>INV-26-0089</v>
      </c>
      <c r="B52" s="5" t="str">
        <f>Invoices!B52</f>
        <v>ENG022</v>
      </c>
      <c r="C52" s="6">
        <f>Invoices!C52</f>
        <v>46187</v>
      </c>
      <c r="D52" s="6">
        <f>Invoices!D52</f>
        <v>46217</v>
      </c>
      <c r="E52" s="5">
        <f>IF(Invoices!E52="","",Invoices!E52)</f>
        <v>1280000</v>
      </c>
      <c r="F52" s="5" t="str">
        <f t="array" ref="F52">_xlfn.XLOOKUP(B52,Engagement_Master!$A:$A,Engagement_Master!$B:$B,"NOT FOUND")</f>
        <v>Vertex Motors Ltd</v>
      </c>
      <c r="G52" s="5" t="str">
        <f t="array" ref="G52">_xlfn.XLOOKUP(B52,Engagement_Master!$A:$A,Engagement_Master!$C:$C,"NOT FOUND")</f>
        <v>Tax</v>
      </c>
      <c r="H52" s="5" t="str">
        <f t="array" ref="H52">_xlfn.XLOOKUP(B52,Engagement_Master!$A:$A,Engagement_Master!$D:$D,"NOT FOUND")</f>
        <v>Rohit Sharma</v>
      </c>
      <c r="I52" s="5">
        <f>SUMIFS(Collections!$D:$D,Collections!$B:$B,A52)</f>
        <v>896000</v>
      </c>
      <c r="J52" s="5">
        <f t="shared" si="1"/>
        <v>384000</v>
      </c>
      <c r="K52" s="5">
        <f>IF(J52="","",IF(J52&lt;=0,0,MAX(0,Control!$B$1-D52)))</f>
        <v>78</v>
      </c>
      <c r="L52" s="5" t="str">
        <f t="shared" si="2"/>
        <v>61-90</v>
      </c>
      <c r="M52" s="5" t="str">
        <f t="shared" si="3"/>
        <v>2026-06</v>
      </c>
    </row>
    <row r="53">
      <c r="A53" s="5" t="str">
        <f>Invoices!A53</f>
        <v>INV-26-0030</v>
      </c>
      <c r="B53" s="5" t="str">
        <f>Invoices!B53</f>
        <v>ENG008</v>
      </c>
      <c r="C53" s="6">
        <f>Invoices!C53</f>
        <v>46187</v>
      </c>
      <c r="D53" s="6">
        <f>Invoices!D53</f>
        <v>46232</v>
      </c>
      <c r="E53" s="5">
        <f>IF(Invoices!E53="","",Invoices!E53)</f>
        <v>896000</v>
      </c>
      <c r="F53" s="5" t="str">
        <f t="array" ref="F53">_xlfn.XLOOKUP(B53,Engagement_Master!$A:$A,Engagement_Master!$B:$B,"NOT FOUND")</f>
        <v>Horizon Foods Pvt Ltd</v>
      </c>
      <c r="G53" s="5" t="str">
        <f t="array" ref="G53">_xlfn.XLOOKUP(B53,Engagement_Master!$A:$A,Engagement_Master!$C:$C,"NOT FOUND")</f>
        <v>Risk Advisory</v>
      </c>
      <c r="H53" s="5" t="str">
        <f t="array" ref="H53">_xlfn.XLOOKUP(B53,Engagement_Master!$A:$A,Engagement_Master!$D:$D,"NOT FOUND")</f>
        <v>Sanjay Gupta</v>
      </c>
      <c r="I53" s="5">
        <f>SUMIFS(Collections!$D:$D,Collections!$B:$B,A53)</f>
        <v>896000</v>
      </c>
      <c r="J53" s="5">
        <f t="shared" si="1"/>
        <v>0</v>
      </c>
      <c r="K53" s="5">
        <f>IF(J53="","",IF(J53&lt;=0,0,MAX(0,Control!$B$1-D53)))</f>
        <v>0</v>
      </c>
      <c r="L53" s="5" t="str">
        <f t="shared" si="2"/>
        <v>Paid</v>
      </c>
      <c r="M53" s="5" t="str">
        <f t="shared" si="3"/>
        <v>2026-06</v>
      </c>
    </row>
    <row r="54">
      <c r="A54" s="5" t="str">
        <f>Invoices!A54</f>
        <v>INV-26-0058</v>
      </c>
      <c r="B54" s="5" t="str">
        <f>Invoices!B54</f>
        <v>ENG015</v>
      </c>
      <c r="C54" s="6">
        <f>Invoices!C54</f>
        <v>46187</v>
      </c>
      <c r="D54" s="6">
        <f>Invoices!D54</f>
        <v>46232</v>
      </c>
      <c r="E54" s="5">
        <f>IF(Invoices!E54="","",Invoices!E54)</f>
        <v>949000</v>
      </c>
      <c r="F54" s="5" t="str">
        <f t="array" ref="F54">_xlfn.XLOOKUP(B54,Engagement_Master!$A:$A,Engagement_Master!$B:$B,"NOT FOUND")</f>
        <v>Orion Energy Ltd</v>
      </c>
      <c r="G54" s="5" t="str">
        <f t="array" ref="G54">_xlfn.XLOOKUP(B54,Engagement_Master!$A:$A,Engagement_Master!$C:$C,"NOT FOUND")</f>
        <v>Consulting</v>
      </c>
      <c r="H54" s="5" t="str">
        <f t="array" ref="H54">_xlfn.XLOOKUP(B54,Engagement_Master!$A:$A,Engagement_Master!$D:$D,"NOT FOUND")</f>
        <v>Priya Nair</v>
      </c>
      <c r="I54" s="5">
        <f>SUMIFS(Collections!$D:$D,Collections!$B:$B,A54)</f>
        <v>949000</v>
      </c>
      <c r="J54" s="5">
        <f t="shared" si="1"/>
        <v>0</v>
      </c>
      <c r="K54" s="5">
        <f>IF(J54="","",IF(J54&lt;=0,0,MAX(0,Control!$B$1-D54)))</f>
        <v>0</v>
      </c>
      <c r="L54" s="5" t="str">
        <f t="shared" si="2"/>
        <v>Paid</v>
      </c>
      <c r="M54" s="5" t="str">
        <f t="shared" si="3"/>
        <v>2026-06</v>
      </c>
    </row>
    <row r="55">
      <c r="A55" s="5" t="str">
        <f>Invoices!A55</f>
        <v>INV-26-0039</v>
      </c>
      <c r="B55" s="5" t="str">
        <f>Invoices!B55</f>
        <v>ENG010</v>
      </c>
      <c r="C55" s="6">
        <f>Invoices!C55</f>
        <v>46187</v>
      </c>
      <c r="D55" s="6">
        <f>Invoices!D55</f>
        <v>46217</v>
      </c>
      <c r="E55" s="5">
        <f>IF(Invoices!E55="","",Invoices!E55)</f>
        <v>1650000</v>
      </c>
      <c r="F55" s="5" t="str">
        <f t="array" ref="F55">_xlfn.XLOOKUP(B55,Engagement_Master!$A:$A,Engagement_Master!$B:$B,"NOT FOUND")</f>
        <v>Jade Pharma Pvt Ltd</v>
      </c>
      <c r="G55" s="5" t="str">
        <f t="array" ref="G55">_xlfn.XLOOKUP(B55,Engagement_Master!$A:$A,Engagement_Master!$C:$C,"NOT FOUND")</f>
        <v>Tax</v>
      </c>
      <c r="H55" s="5" t="str">
        <f t="array" ref="H55">_xlfn.XLOOKUP(B55,Engagement_Master!$A:$A,Engagement_Master!$D:$D,"NOT FOUND")</f>
        <v>Rohit Sharma</v>
      </c>
      <c r="I55" s="5">
        <f>SUMIFS(Collections!$D:$D,Collections!$B:$B,A55)</f>
        <v>1650000</v>
      </c>
      <c r="J55" s="5">
        <f t="shared" si="1"/>
        <v>0</v>
      </c>
      <c r="K55" s="5">
        <f>IF(J55="","",IF(J55&lt;=0,0,MAX(0,Control!$B$1-D55)))</f>
        <v>0</v>
      </c>
      <c r="L55" s="5" t="str">
        <f t="shared" si="2"/>
        <v>Paid</v>
      </c>
      <c r="M55" s="5" t="str">
        <f t="shared" si="3"/>
        <v>2026-06</v>
      </c>
    </row>
    <row r="56">
      <c r="A56" s="5" t="str">
        <f>Invoices!A56</f>
        <v>INV-26-0132</v>
      </c>
      <c r="B56" s="5" t="str">
        <f>Invoices!B56</f>
        <v>ENG033</v>
      </c>
      <c r="C56" s="6">
        <f>Invoices!C56</f>
        <v>46189</v>
      </c>
      <c r="D56" s="6">
        <f>Invoices!D56</f>
        <v>46219</v>
      </c>
      <c r="E56" s="5">
        <f>IF(Invoices!E56="","",Invoices!E56)</f>
        <v>610000</v>
      </c>
      <c r="F56" s="5" t="str">
        <f t="array" ref="F56">_xlfn.XLOOKUP(B56,Engagement_Master!$A:$A,Engagement_Master!$B:$B,"NOT FOUND")</f>
        <v>Ivory Industries Ltd</v>
      </c>
      <c r="G56" s="5" t="str">
        <f t="array" ref="G56">_xlfn.XLOOKUP(B56,Engagement_Master!$A:$A,Engagement_Master!$C:$C,"NOT FOUND")</f>
        <v>Audit</v>
      </c>
      <c r="H56" s="5" t="str">
        <f t="array" ref="H56">_xlfn.XLOOKUP(B56,Engagement_Master!$A:$A,Engagement_Master!$D:$D,"NOT FOUND")</f>
        <v>Anil Mehta</v>
      </c>
      <c r="I56" s="5">
        <f>SUMIFS(Collections!$D:$D,Collections!$B:$B,A56)</f>
        <v>610000</v>
      </c>
      <c r="J56" s="5">
        <f t="shared" si="1"/>
        <v>0</v>
      </c>
      <c r="K56" s="5">
        <f>IF(J56="","",IF(J56&lt;=0,0,MAX(0,Control!$B$1-D56)))</f>
        <v>0</v>
      </c>
      <c r="L56" s="5" t="str">
        <f t="shared" si="2"/>
        <v>Paid</v>
      </c>
      <c r="M56" s="5" t="str">
        <f t="shared" si="3"/>
        <v>2026-06</v>
      </c>
    </row>
    <row r="57">
      <c r="A57" s="5" t="str">
        <f>Invoices!A57</f>
        <v>INV-26-0017</v>
      </c>
      <c r="B57" s="5" t="str">
        <f>Invoices!B57</f>
        <v>ENG005</v>
      </c>
      <c r="C57" s="6">
        <f>Invoices!C57</f>
        <v>46189</v>
      </c>
      <c r="D57" s="6">
        <f>Invoices!D57</f>
        <v>46219</v>
      </c>
      <c r="E57" s="5">
        <f>IF(Invoices!E57="","",Invoices!E57)</f>
        <v>397000</v>
      </c>
      <c r="F57" s="5" t="str">
        <f t="array" ref="F57">_xlfn.XLOOKUP(B57,Engagement_Master!$A:$A,Engagement_Master!$B:$B,"NOT FOUND")</f>
        <v>Everest Infotech Pvt Ltd</v>
      </c>
      <c r="G57" s="5" t="str">
        <f t="array" ref="G57">_xlfn.XLOOKUP(B57,Engagement_Master!$A:$A,Engagement_Master!$C:$C,"NOT FOUND")</f>
        <v>Audit</v>
      </c>
      <c r="H57" s="5" t="str">
        <f t="array" ref="H57">_xlfn.XLOOKUP(B57,Engagement_Master!$A:$A,Engagement_Master!$D:$D,"NOT FOUND")</f>
        <v>Anil Mehta</v>
      </c>
      <c r="I57" s="5">
        <f>SUMIFS(Collections!$D:$D,Collections!$B:$B,A57)</f>
        <v>0</v>
      </c>
      <c r="J57" s="5">
        <f t="shared" si="1"/>
        <v>397000</v>
      </c>
      <c r="K57" s="5">
        <f>IF(J57="","",IF(J57&lt;=0,0,MAX(0,Control!$B$1-D57)))</f>
        <v>76</v>
      </c>
      <c r="L57" s="5" t="str">
        <f t="shared" si="2"/>
        <v>61-90</v>
      </c>
      <c r="M57" s="5" t="str">
        <f t="shared" si="3"/>
        <v>2026-06</v>
      </c>
    </row>
    <row r="58">
      <c r="A58" s="5" t="str">
        <f>Invoices!A58</f>
        <v>INV-26-0084</v>
      </c>
      <c r="B58" s="5" t="str">
        <f>Invoices!B58</f>
        <v>ENG021</v>
      </c>
      <c r="C58" s="6">
        <f>Invoices!C58</f>
        <v>46189</v>
      </c>
      <c r="D58" s="6">
        <f>Invoices!D58</f>
        <v>46234</v>
      </c>
      <c r="E58" s="5">
        <f>IF(Invoices!E58="","",Invoices!E58)</f>
        <v>384000</v>
      </c>
      <c r="F58" s="5" t="str">
        <f t="array" ref="F58">_xlfn.XLOOKUP(B58,Engagement_Master!$A:$A,Engagement_Master!$B:$B,"NOT FOUND")</f>
        <v>Unity Infotech Pvt Ltd</v>
      </c>
      <c r="G58" s="5" t="str">
        <f t="array" ref="G58">_xlfn.XLOOKUP(B58,Engagement_Master!$A:$A,Engagement_Master!$C:$C,"NOT FOUND")</f>
        <v>Audit</v>
      </c>
      <c r="H58" s="5" t="str">
        <f t="array" ref="H58">_xlfn.XLOOKUP(B58,Engagement_Master!$A:$A,Engagement_Master!$D:$D,"NOT FOUND")</f>
        <v>Anil Mehta</v>
      </c>
      <c r="I58" s="5">
        <f>SUMIFS(Collections!$D:$D,Collections!$B:$B,A58)</f>
        <v>384000</v>
      </c>
      <c r="J58" s="5">
        <f t="shared" si="1"/>
        <v>0</v>
      </c>
      <c r="K58" s="5">
        <f>IF(J58="","",IF(J58&lt;=0,0,MAX(0,Control!$B$1-D58)))</f>
        <v>0</v>
      </c>
      <c r="L58" s="5" t="str">
        <f t="shared" si="2"/>
        <v>Paid</v>
      </c>
      <c r="M58" s="5" t="str">
        <f t="shared" si="3"/>
        <v>2026-06</v>
      </c>
    </row>
    <row r="59">
      <c r="A59" s="5" t="str">
        <f>Invoices!A59</f>
        <v>INV-26-0002</v>
      </c>
      <c r="B59" s="5" t="str">
        <f>Invoices!B59</f>
        <v>ENG001</v>
      </c>
      <c r="C59" s="6">
        <f>Invoices!C59</f>
        <v>46191</v>
      </c>
      <c r="D59" s="6">
        <f>Invoices!D59</f>
        <v>46221</v>
      </c>
      <c r="E59" s="5">
        <f>IF(Invoices!E59="","",Invoices!E59)</f>
        <v>266000</v>
      </c>
      <c r="F59" s="5" t="str">
        <f t="array" ref="F59">_xlfn.XLOOKUP(B59,Engagement_Master!$A:$A,Engagement_Master!$B:$B,"NOT FOUND")</f>
        <v>Arcadia Industries Ltd</v>
      </c>
      <c r="G59" s="5" t="str">
        <f t="array" ref="G59">_xlfn.XLOOKUP(B59,Engagement_Master!$A:$A,Engagement_Master!$C:$C,"NOT FOUND")</f>
        <v>Audit</v>
      </c>
      <c r="H59" s="5" t="str">
        <f t="array" ref="H59">_xlfn.XLOOKUP(B59,Engagement_Master!$A:$A,Engagement_Master!$D:$D,"NOT FOUND")</f>
        <v>Anil Mehta</v>
      </c>
      <c r="I59" s="5">
        <f>SUMIFS(Collections!$D:$D,Collections!$B:$B,A59)</f>
        <v>266000</v>
      </c>
      <c r="J59" s="5">
        <f t="shared" si="1"/>
        <v>0</v>
      </c>
      <c r="K59" s="5">
        <f>IF(J59="","",IF(J59&lt;=0,0,MAX(0,Control!$B$1-D59)))</f>
        <v>0</v>
      </c>
      <c r="L59" s="5" t="str">
        <f t="shared" si="2"/>
        <v>Paid</v>
      </c>
      <c r="M59" s="5" t="str">
        <f t="shared" si="3"/>
        <v>2026-06</v>
      </c>
    </row>
    <row r="60">
      <c r="A60" s="5" t="str">
        <f>Invoices!A60</f>
        <v>INV-26-0014</v>
      </c>
      <c r="B60" s="5" t="str">
        <f>Invoices!B60</f>
        <v>ENG004</v>
      </c>
      <c r="C60" s="6">
        <f>Invoices!C60</f>
        <v>46192</v>
      </c>
      <c r="D60" s="6">
        <f>Invoices!D60</f>
        <v>46222</v>
      </c>
      <c r="E60" s="5">
        <f>IF(Invoices!E60="","",Invoices!E60)</f>
        <v>312000</v>
      </c>
      <c r="F60" s="5" t="str">
        <f t="array" ref="F60">_xlfn.XLOOKUP(B60,Engagement_Master!$A:$A,Engagement_Master!$B:$B,"NOT FOUND")</f>
        <v>Deccan Retail Ltd</v>
      </c>
      <c r="G60" s="5" t="str">
        <f t="array" ref="G60">_xlfn.XLOOKUP(B60,Engagement_Master!$A:$A,Engagement_Master!$C:$C,"NOT FOUND")</f>
        <v>Risk Advisory</v>
      </c>
      <c r="H60" s="5" t="str">
        <f t="array" ref="H60">_xlfn.XLOOKUP(B60,Engagement_Master!$A:$A,Engagement_Master!$D:$D,"NOT FOUND")</f>
        <v>Sanjay Gupta</v>
      </c>
      <c r="I60" s="5">
        <f>SUMIFS(Collections!$D:$D,Collections!$B:$B,A60)</f>
        <v>312000</v>
      </c>
      <c r="J60" s="5">
        <f t="shared" si="1"/>
        <v>0</v>
      </c>
      <c r="K60" s="5">
        <f>IF(J60="","",IF(J60&lt;=0,0,MAX(0,Control!$B$1-D60)))</f>
        <v>0</v>
      </c>
      <c r="L60" s="5" t="str">
        <f t="shared" si="2"/>
        <v>Paid</v>
      </c>
      <c r="M60" s="5" t="str">
        <f t="shared" si="3"/>
        <v>2026-06</v>
      </c>
    </row>
    <row r="61">
      <c r="A61" s="5" t="str">
        <f>Invoices!A61</f>
        <v>INV-26-0009</v>
      </c>
      <c r="B61" s="5" t="str">
        <f>Invoices!B61</f>
        <v>ENG003</v>
      </c>
      <c r="C61" s="6">
        <f>Invoices!C61</f>
        <v>46192</v>
      </c>
      <c r="D61" s="6">
        <f>Invoices!D61</f>
        <v>46222</v>
      </c>
      <c r="E61" s="5">
        <f>IF(Invoices!E61="","",Invoices!E61)</f>
        <v>842000</v>
      </c>
      <c r="F61" s="5" t="str">
        <f t="array" ref="F61">_xlfn.XLOOKUP(B61,Engagement_Master!$A:$A,Engagement_Master!$B:$B,"NOT FOUND")</f>
        <v>Crestline Finance Ltd</v>
      </c>
      <c r="G61" s="5" t="str">
        <f t="array" ref="G61">_xlfn.XLOOKUP(B61,Engagement_Master!$A:$A,Engagement_Master!$C:$C,"NOT FOUND")</f>
        <v>Consulting</v>
      </c>
      <c r="H61" s="5" t="str">
        <f t="array" ref="H61">_xlfn.XLOOKUP(B61,Engagement_Master!$A:$A,Engagement_Master!$D:$D,"NOT FOUND")</f>
        <v>Vikram Iyer</v>
      </c>
      <c r="I61" s="5">
        <f>SUMIFS(Collections!$D:$D,Collections!$B:$B,A61)</f>
        <v>842000</v>
      </c>
      <c r="J61" s="5">
        <f t="shared" si="1"/>
        <v>0</v>
      </c>
      <c r="K61" s="5">
        <f>IF(J61="","",IF(J61&lt;=0,0,MAX(0,Control!$B$1-D61)))</f>
        <v>0</v>
      </c>
      <c r="L61" s="5" t="str">
        <f t="shared" si="2"/>
        <v>Paid</v>
      </c>
      <c r="M61" s="5" t="str">
        <f t="shared" si="3"/>
        <v>2026-06</v>
      </c>
    </row>
    <row r="62">
      <c r="A62" s="5" t="str">
        <f>Invoices!A62</f>
        <v>INV-26-0146</v>
      </c>
      <c r="B62" s="5" t="str">
        <f>Invoices!B62</f>
        <v>ENG036</v>
      </c>
      <c r="C62" s="6">
        <f>Invoices!C62</f>
        <v>46192</v>
      </c>
      <c r="D62" s="6">
        <f>Invoices!D62</f>
        <v>46237</v>
      </c>
      <c r="E62" s="5">
        <f>IF(Invoices!E62="","",Invoices!E62)</f>
        <v>1091000</v>
      </c>
      <c r="F62" s="5" t="str">
        <f t="array" ref="F62">_xlfn.XLOOKUP(B62,Engagement_Master!$A:$A,Engagement_Master!$B:$B,"NOT FOUND")</f>
        <v>Lumen Retail Ltd</v>
      </c>
      <c r="G62" s="5" t="str">
        <f t="array" ref="G62">_xlfn.XLOOKUP(B62,Engagement_Master!$A:$A,Engagement_Master!$C:$C,"NOT FOUND")</f>
        <v>Risk Advisory</v>
      </c>
      <c r="H62" s="5" t="str">
        <f t="array" ref="H62">_xlfn.XLOOKUP(B62,Engagement_Master!$A:$A,Engagement_Master!$D:$D,"NOT FOUND")</f>
        <v>Sanjay Gupta</v>
      </c>
      <c r="I62" s="5">
        <f>SUMIFS(Collections!$D:$D,Collections!$B:$B,A62)</f>
        <v>1091000</v>
      </c>
      <c r="J62" s="5">
        <f t="shared" si="1"/>
        <v>0</v>
      </c>
      <c r="K62" s="5">
        <f>IF(J62="","",IF(J62&lt;=0,0,MAX(0,Control!$B$1-D62)))</f>
        <v>0</v>
      </c>
      <c r="L62" s="5" t="str">
        <f t="shared" si="2"/>
        <v>Paid</v>
      </c>
      <c r="M62" s="5" t="str">
        <f t="shared" si="3"/>
        <v>2026-06</v>
      </c>
    </row>
    <row r="63">
      <c r="A63" s="5" t="str">
        <f>Invoices!A63</f>
        <v>INV-26-0052</v>
      </c>
      <c r="B63" s="5" t="str">
        <f>Invoices!B63</f>
        <v>ENG013</v>
      </c>
      <c r="C63" s="6">
        <f>Invoices!C63</f>
        <v>46194</v>
      </c>
      <c r="D63" s="6">
        <f>Invoices!D63</f>
        <v>46239</v>
      </c>
      <c r="E63" s="5">
        <f>IF(Invoices!E63="","",Invoices!E63)</f>
        <v>879000</v>
      </c>
      <c r="F63" s="5" t="str">
        <f t="array" ref="F63">_xlfn.XLOOKUP(B63,Engagement_Master!$A:$A,Engagement_Master!$B:$B,"NOT FOUND")</f>
        <v>Meridian Infotech Pvt Ltd</v>
      </c>
      <c r="G63" s="5" t="str">
        <f t="array" ref="G63">_xlfn.XLOOKUP(B63,Engagement_Master!$A:$A,Engagement_Master!$C:$C,"NOT FOUND")</f>
        <v>Audit</v>
      </c>
      <c r="H63" s="5" t="str">
        <f t="array" ref="H63">_xlfn.XLOOKUP(B63,Engagement_Master!$A:$A,Engagement_Master!$D:$D,"NOT FOUND")</f>
        <v>Anil Mehta</v>
      </c>
      <c r="I63" s="5">
        <f>SUMIFS(Collections!$D:$D,Collections!$B:$B,A63)</f>
        <v>0</v>
      </c>
      <c r="J63" s="5">
        <f t="shared" si="1"/>
        <v>879000</v>
      </c>
      <c r="K63" s="5">
        <f>IF(J63="","",IF(J63&lt;=0,0,MAX(0,Control!$B$1-D63)))</f>
        <v>56</v>
      </c>
      <c r="L63" s="5" t="str">
        <f t="shared" si="2"/>
        <v>31-60</v>
      </c>
      <c r="M63" s="5" t="str">
        <f t="shared" si="3"/>
        <v>2026-06</v>
      </c>
    </row>
    <row r="64">
      <c r="A64" s="5" t="str">
        <f>Invoices!A64</f>
        <v>INV-26-0123</v>
      </c>
      <c r="B64" s="5" t="str">
        <f>Invoices!B64</f>
        <v>ENG031</v>
      </c>
      <c r="C64" s="6">
        <f>Invoices!C64</f>
        <v>46195</v>
      </c>
      <c r="D64" s="6">
        <f>Invoices!D64</f>
        <v>46255</v>
      </c>
      <c r="E64" s="5">
        <f>IF(Invoices!E64="","",Invoices!E64)</f>
        <v>1062000</v>
      </c>
      <c r="F64" s="5" t="str">
        <f t="array" ref="F64">_xlfn.XLOOKUP(B64,Engagement_Master!$A:$A,Engagement_Master!$B:$B,"NOT FOUND")</f>
        <v>Glacier Energy Ltd</v>
      </c>
      <c r="G64" s="5" t="str">
        <f t="array" ref="G64">_xlfn.XLOOKUP(B64,Engagement_Master!$A:$A,Engagement_Master!$C:$C,"NOT FOUND")</f>
        <v>Consulting</v>
      </c>
      <c r="H64" s="5" t="str">
        <f t="array" ref="H64">_xlfn.XLOOKUP(B64,Engagement_Master!$A:$A,Engagement_Master!$D:$D,"NOT FOUND")</f>
        <v>Priya Nair</v>
      </c>
      <c r="I64" s="5">
        <f>SUMIFS(Collections!$D:$D,Collections!$B:$B,A64)</f>
        <v>1062000</v>
      </c>
      <c r="J64" s="5">
        <f t="shared" si="1"/>
        <v>0</v>
      </c>
      <c r="K64" s="5">
        <f>IF(J64="","",IF(J64&lt;=0,0,MAX(0,Control!$B$1-D64)))</f>
        <v>0</v>
      </c>
      <c r="L64" s="5" t="str">
        <f t="shared" si="2"/>
        <v>Paid</v>
      </c>
      <c r="M64" s="5" t="str">
        <f t="shared" si="3"/>
        <v>2026-06</v>
      </c>
    </row>
    <row r="65">
      <c r="A65" s="5" t="str">
        <f>Invoices!A65</f>
        <v>INV-26-0158</v>
      </c>
      <c r="B65" s="5" t="str">
        <f>Invoices!B65</f>
        <v>ENG039</v>
      </c>
      <c r="C65" s="6">
        <f>Invoices!C65</f>
        <v>46195</v>
      </c>
      <c r="D65" s="6">
        <f>Invoices!D65</f>
        <v>46255</v>
      </c>
      <c r="E65" s="5">
        <f>IF(Invoices!E65="","",Invoices!E65)</f>
        <v>789000</v>
      </c>
      <c r="F65" s="5" t="str">
        <f t="array" ref="F65">_xlfn.XLOOKUP(B65,Engagement_Master!$A:$A,Engagement_Master!$B:$B,"NOT FOUND")</f>
        <v>Opal Energy Ltd</v>
      </c>
      <c r="G65" s="5" t="str">
        <f t="array" ref="G65">_xlfn.XLOOKUP(B65,Engagement_Master!$A:$A,Engagement_Master!$C:$C,"NOT FOUND")</f>
        <v>Consulting</v>
      </c>
      <c r="H65" s="5" t="str">
        <f t="array" ref="H65">_xlfn.XLOOKUP(B65,Engagement_Master!$A:$A,Engagement_Master!$D:$D,"NOT FOUND")</f>
        <v>Vikram Iyer</v>
      </c>
      <c r="I65" s="5">
        <f>SUMIFS(Collections!$D:$D,Collections!$B:$B,A65)</f>
        <v>0</v>
      </c>
      <c r="J65" s="5">
        <f t="shared" si="1"/>
        <v>789000</v>
      </c>
      <c r="K65" s="5">
        <f>IF(J65="","",IF(J65&lt;=0,0,MAX(0,Control!$B$1-D65)))</f>
        <v>40</v>
      </c>
      <c r="L65" s="5" t="str">
        <f t="shared" si="2"/>
        <v>31-60</v>
      </c>
      <c r="M65" s="5" t="str">
        <f t="shared" si="3"/>
        <v>2026-06</v>
      </c>
    </row>
    <row r="66">
      <c r="A66" s="5" t="str">
        <f>Invoices!A66</f>
        <v>INV-26-0080</v>
      </c>
      <c r="B66" s="5" t="str">
        <f>Invoices!B66</f>
        <v>ENG020</v>
      </c>
      <c r="C66" s="6">
        <f>Invoices!C66</f>
        <v>46195</v>
      </c>
      <c r="D66" s="6">
        <f>Invoices!D66</f>
        <v>46240</v>
      </c>
      <c r="E66" s="5">
        <f>IF(Invoices!E66="","",Invoices!E66)</f>
        <v>699000</v>
      </c>
      <c r="F66" s="5" t="str">
        <f t="array" ref="F66">_xlfn.XLOOKUP(B66,Engagement_Master!$A:$A,Engagement_Master!$B:$B,"NOT FOUND")</f>
        <v>Terra Retail Ltd</v>
      </c>
      <c r="G66" s="5" t="str">
        <f t="array" ref="G66">_xlfn.XLOOKUP(B66,Engagement_Master!$A:$A,Engagement_Master!$C:$C,"NOT FOUND")</f>
        <v>Risk Advisory</v>
      </c>
      <c r="H66" s="5" t="str">
        <f t="array" ref="H66">_xlfn.XLOOKUP(B66,Engagement_Master!$A:$A,Engagement_Master!$D:$D,"NOT FOUND")</f>
        <v>Meera Joshi</v>
      </c>
      <c r="I66" s="5">
        <f>SUMIFS(Collections!$D:$D,Collections!$B:$B,A66)</f>
        <v>699000</v>
      </c>
      <c r="J66" s="5">
        <f t="shared" si="1"/>
        <v>0</v>
      </c>
      <c r="K66" s="5">
        <f>IF(J66="","",IF(J66&lt;=0,0,MAX(0,Control!$B$1-D66)))</f>
        <v>0</v>
      </c>
      <c r="L66" s="5" t="str">
        <f t="shared" si="2"/>
        <v>Paid</v>
      </c>
      <c r="M66" s="5" t="str">
        <f t="shared" si="3"/>
        <v>2026-06</v>
      </c>
    </row>
    <row r="67">
      <c r="A67" s="5" t="str">
        <f>Invoices!A67</f>
        <v>INV-26-0062</v>
      </c>
      <c r="B67" s="5" t="str">
        <f>Invoices!B67</f>
        <v>ENG016</v>
      </c>
      <c r="C67" s="6">
        <f>Invoices!C67</f>
        <v>46195</v>
      </c>
      <c r="D67" s="6">
        <f>Invoices!D67</f>
        <v>46225</v>
      </c>
      <c r="E67" s="5">
        <f>IF(Invoices!E67="","",Invoices!E67)</f>
        <v>769000</v>
      </c>
      <c r="F67" s="5" t="str">
        <f t="array" ref="F67">_xlfn.XLOOKUP(B67,Engagement_Master!$A:$A,Engagement_Master!$B:$B,"NOT FOUND")</f>
        <v>Pinnacle Foods Pvt Ltd</v>
      </c>
      <c r="G67" s="5" t="str">
        <f t="array" ref="G67">_xlfn.XLOOKUP(B67,Engagement_Master!$A:$A,Engagement_Master!$C:$C,"NOT FOUND")</f>
        <v>Risk Advisory</v>
      </c>
      <c r="H67" s="5" t="str">
        <f t="array" ref="H67">_xlfn.XLOOKUP(B67,Engagement_Master!$A:$A,Engagement_Master!$D:$D,"NOT FOUND")</f>
        <v>Sanjay Gupta</v>
      </c>
      <c r="I67" s="5">
        <f>SUMIFS(Collections!$D:$D,Collections!$B:$B,A67)</f>
        <v>769000</v>
      </c>
      <c r="J67" s="5">
        <f t="shared" si="1"/>
        <v>0</v>
      </c>
      <c r="K67" s="5">
        <f>IF(J67="","",IF(J67&lt;=0,0,MAX(0,Control!$B$1-D67)))</f>
        <v>0</v>
      </c>
      <c r="L67" s="5" t="str">
        <f t="shared" si="2"/>
        <v>Paid</v>
      </c>
      <c r="M67" s="5" t="str">
        <f t="shared" si="3"/>
        <v>2026-06</v>
      </c>
    </row>
    <row r="68">
      <c r="A68" s="5" t="str">
        <f>Invoices!A68</f>
        <v>INV-26-0149</v>
      </c>
      <c r="B68" s="5" t="str">
        <f>Invoices!B68</f>
        <v>ENG037</v>
      </c>
      <c r="C68" s="6">
        <f>Invoices!C68</f>
        <v>46196</v>
      </c>
      <c r="D68" s="6">
        <f>Invoices!D68</f>
        <v>46241</v>
      </c>
      <c r="E68" s="5">
        <f>IF(Invoices!E68="","",Invoices!E68)</f>
        <v>637000</v>
      </c>
      <c r="F68" s="5" t="str">
        <f t="array" ref="F68">_xlfn.XLOOKUP(B68,Engagement_Master!$A:$A,Engagement_Master!$B:$B,"NOT FOUND")</f>
        <v>Monsoon Infotech Pvt Ltd</v>
      </c>
      <c r="G68" s="5" t="str">
        <f t="array" ref="G68">_xlfn.XLOOKUP(B68,Engagement_Master!$A:$A,Engagement_Master!$C:$C,"NOT FOUND")</f>
        <v>Audit</v>
      </c>
      <c r="H68" s="5" t="str">
        <f t="array" ref="H68">_xlfn.XLOOKUP(B68,Engagement_Master!$A:$A,Engagement_Master!$D:$D,"NOT FOUND")</f>
        <v>Kavita Rao</v>
      </c>
      <c r="I68" s="5">
        <f>SUMIFS(Collections!$D:$D,Collections!$B:$B,A68)</f>
        <v>637000</v>
      </c>
      <c r="J68" s="5">
        <f t="shared" si="1"/>
        <v>0</v>
      </c>
      <c r="K68" s="5">
        <f>IF(J68="","",IF(J68&lt;=0,0,MAX(0,Control!$B$1-D68)))</f>
        <v>0</v>
      </c>
      <c r="L68" s="5" t="str">
        <f t="shared" si="2"/>
        <v>Paid</v>
      </c>
      <c r="M68" s="5" t="str">
        <f t="shared" si="3"/>
        <v>2026-06</v>
      </c>
    </row>
    <row r="69">
      <c r="A69" s="5" t="str">
        <f>Invoices!A69</f>
        <v>INV-26-0007</v>
      </c>
      <c r="B69" s="5" t="str">
        <f>Invoices!B69</f>
        <v>ENG002</v>
      </c>
      <c r="C69" s="6">
        <f>Invoices!C69</f>
        <v>46196</v>
      </c>
      <c r="D69" s="6">
        <f>Invoices!D69</f>
        <v>46226</v>
      </c>
      <c r="E69" s="5">
        <f>IF(Invoices!E69="","",Invoices!E69)</f>
        <v>731000</v>
      </c>
      <c r="F69" s="5" t="str">
        <f t="array" ref="F69">_xlfn.XLOOKUP(B69,Engagement_Master!$A:$A,Engagement_Master!$B:$B,"NOT FOUND")</f>
        <v>Bluestone Pharma Pvt Ltd</v>
      </c>
      <c r="G69" s="5" t="str">
        <f t="array" ref="G69">_xlfn.XLOOKUP(B69,Engagement_Master!$A:$A,Engagement_Master!$C:$C,"NOT FOUND")</f>
        <v>Tax</v>
      </c>
      <c r="H69" s="5" t="str">
        <f t="array" ref="H69">_xlfn.XLOOKUP(B69,Engagement_Master!$A:$A,Engagement_Master!$D:$D,"NOT FOUND")</f>
        <v>Rohit Sharma</v>
      </c>
      <c r="I69" s="5">
        <f>SUMIFS(Collections!$D:$D,Collections!$B:$B,A69)</f>
        <v>731000</v>
      </c>
      <c r="J69" s="5">
        <f t="shared" si="1"/>
        <v>0</v>
      </c>
      <c r="K69" s="5">
        <f>IF(J69="","",IF(J69&lt;=0,0,MAX(0,Control!$B$1-D69)))</f>
        <v>0</v>
      </c>
      <c r="L69" s="5" t="str">
        <f t="shared" si="2"/>
        <v>Paid</v>
      </c>
      <c r="M69" s="5" t="str">
        <f t="shared" si="3"/>
        <v>2026-06</v>
      </c>
    </row>
    <row r="70">
      <c r="A70" s="5" t="str">
        <f>Invoices!A70</f>
        <v>INV-26-0127</v>
      </c>
      <c r="B70" s="5" t="str">
        <f>Invoices!B70</f>
        <v>ENG032</v>
      </c>
      <c r="C70" s="6">
        <f>Invoices!C70</f>
        <v>46198</v>
      </c>
      <c r="D70" s="6">
        <f>Invoices!D70</f>
        <v>46228</v>
      </c>
      <c r="E70" s="5">
        <f>IF(Invoices!E70="","",Invoices!E70)</f>
        <v>703000</v>
      </c>
      <c r="F70" s="5" t="str">
        <f t="array" ref="F70">_xlfn.XLOOKUP(B70,Engagement_Master!$A:$A,Engagement_Master!$B:$B,"NOT FOUND")</f>
        <v>Harbor Foods Pvt Ltd</v>
      </c>
      <c r="G70" s="5" t="str">
        <f t="array" ref="G70">_xlfn.XLOOKUP(B70,Engagement_Master!$A:$A,Engagement_Master!$C:$C,"NOT FOUND")</f>
        <v>Risk Advisory</v>
      </c>
      <c r="H70" s="5" t="str">
        <f t="array" ref="H70">_xlfn.XLOOKUP(B70,Engagement_Master!$A:$A,Engagement_Master!$D:$D,"NOT FOUND")</f>
        <v>Meera Joshi</v>
      </c>
      <c r="I70" s="5">
        <f>SUMIFS(Collections!$D:$D,Collections!$B:$B,A70)</f>
        <v>320000</v>
      </c>
      <c r="J70" s="5">
        <f t="shared" si="1"/>
        <v>383000</v>
      </c>
      <c r="K70" s="5">
        <f>IF(J70="","",IF(J70&lt;=0,0,MAX(0,Control!$B$1-D70)))</f>
        <v>67</v>
      </c>
      <c r="L70" s="5" t="str">
        <f t="shared" si="2"/>
        <v>61-90</v>
      </c>
      <c r="M70" s="5" t="str">
        <f t="shared" si="3"/>
        <v>2026-06</v>
      </c>
    </row>
    <row r="71">
      <c r="A71" s="5" t="str">
        <f>Invoices!A71</f>
        <v>INV-26-0120</v>
      </c>
      <c r="B71" s="5" t="str">
        <f>Invoices!B71</f>
        <v>ENG030</v>
      </c>
      <c r="C71" s="6">
        <f>Invoices!C71</f>
        <v>46199</v>
      </c>
      <c r="D71" s="6">
        <f>Invoices!D71</f>
        <v>46229</v>
      </c>
      <c r="E71" s="5">
        <f>IF(Invoices!E71="","",Invoices!E71)</f>
        <v>1465000</v>
      </c>
      <c r="F71" s="5" t="str">
        <f t="array" ref="F71">_xlfn.XLOOKUP(B71,Engagement_Master!$A:$A,Engagement_Master!$B:$B,"NOT FOUND")</f>
        <v>Falcon Motors Ltd</v>
      </c>
      <c r="G71" s="5" t="str">
        <f t="array" ref="G71">_xlfn.XLOOKUP(B71,Engagement_Master!$A:$A,Engagement_Master!$C:$C,"NOT FOUND")</f>
        <v>Tax</v>
      </c>
      <c r="H71" s="5" t="str">
        <f t="array" ref="H71">_xlfn.XLOOKUP(B71,Engagement_Master!$A:$A,Engagement_Master!$D:$D,"NOT FOUND")</f>
        <v>Neha Kapoor</v>
      </c>
      <c r="I71" s="5">
        <f>SUMIFS(Collections!$D:$D,Collections!$B:$B,A71)</f>
        <v>1465000</v>
      </c>
      <c r="J71" s="5">
        <f t="shared" si="1"/>
        <v>0</v>
      </c>
      <c r="K71" s="5">
        <f>IF(J71="","",IF(J71&lt;=0,0,MAX(0,Control!$B$1-D71)))</f>
        <v>0</v>
      </c>
      <c r="L71" s="5" t="str">
        <f t="shared" si="2"/>
        <v>Paid</v>
      </c>
      <c r="M71" s="5" t="str">
        <f t="shared" si="3"/>
        <v>2026-06</v>
      </c>
    </row>
    <row r="72">
      <c r="A72" s="5" t="str">
        <f>Invoices!A72</f>
        <v>INV-26-0085</v>
      </c>
      <c r="B72" s="5" t="str">
        <f>Invoices!B72</f>
        <v>ENG021</v>
      </c>
      <c r="C72" s="6">
        <f>Invoices!C72</f>
        <v>46208</v>
      </c>
      <c r="D72" s="6">
        <f>Invoices!D72</f>
        <v>46253</v>
      </c>
      <c r="E72" s="5">
        <f>IF(Invoices!E72="","",Invoices!E72)</f>
        <v>518000</v>
      </c>
      <c r="F72" s="5" t="str">
        <f t="array" ref="F72">_xlfn.XLOOKUP(B72,Engagement_Master!$A:$A,Engagement_Master!$B:$B,"NOT FOUND")</f>
        <v>Unity Infotech Pvt Ltd</v>
      </c>
      <c r="G72" s="5" t="str">
        <f t="array" ref="G72">_xlfn.XLOOKUP(B72,Engagement_Master!$A:$A,Engagement_Master!$C:$C,"NOT FOUND")</f>
        <v>Audit</v>
      </c>
      <c r="H72" s="5" t="str">
        <f t="array" ref="H72">_xlfn.XLOOKUP(B72,Engagement_Master!$A:$A,Engagement_Master!$D:$D,"NOT FOUND")</f>
        <v>Anil Mehta</v>
      </c>
      <c r="I72" s="5">
        <f>SUMIFS(Collections!$D:$D,Collections!$B:$B,A72)</f>
        <v>362000</v>
      </c>
      <c r="J72" s="5">
        <f t="shared" si="1"/>
        <v>156000</v>
      </c>
      <c r="K72" s="5">
        <f>IF(J72="","",IF(J72&lt;=0,0,MAX(0,Control!$B$1-D72)))</f>
        <v>42</v>
      </c>
      <c r="L72" s="5" t="str">
        <f t="shared" si="2"/>
        <v>31-60</v>
      </c>
      <c r="M72" s="5" t="str">
        <f t="shared" si="3"/>
        <v>2026-07</v>
      </c>
    </row>
    <row r="73">
      <c r="A73" s="5" t="str">
        <f>Invoices!A73</f>
        <v>INV-26-0015</v>
      </c>
      <c r="B73" s="5" t="str">
        <f>Invoices!B73</f>
        <v>ENG004</v>
      </c>
      <c r="C73" s="6">
        <f>Invoices!C73</f>
        <v>46208</v>
      </c>
      <c r="D73" s="6">
        <f>Invoices!D73</f>
        <v>46238</v>
      </c>
      <c r="E73" s="5">
        <f>IF(Invoices!E73="","",Invoices!E73)</f>
        <v>324000</v>
      </c>
      <c r="F73" s="5" t="str">
        <f t="array" ref="F73">_xlfn.XLOOKUP(B73,Engagement_Master!$A:$A,Engagement_Master!$B:$B,"NOT FOUND")</f>
        <v>Deccan Retail Ltd</v>
      </c>
      <c r="G73" s="5" t="str">
        <f t="array" ref="G73">_xlfn.XLOOKUP(B73,Engagement_Master!$A:$A,Engagement_Master!$C:$C,"NOT FOUND")</f>
        <v>Risk Advisory</v>
      </c>
      <c r="H73" s="5" t="str">
        <f t="array" ref="H73">_xlfn.XLOOKUP(B73,Engagement_Master!$A:$A,Engagement_Master!$D:$D,"NOT FOUND")</f>
        <v>Sanjay Gupta</v>
      </c>
      <c r="I73" s="5">
        <f>SUMIFS(Collections!$D:$D,Collections!$B:$B,A73)</f>
        <v>324000</v>
      </c>
      <c r="J73" s="5">
        <f t="shared" si="1"/>
        <v>0</v>
      </c>
      <c r="K73" s="5">
        <f>IF(J73="","",IF(J73&lt;=0,0,MAX(0,Control!$B$1-D73)))</f>
        <v>0</v>
      </c>
      <c r="L73" s="5" t="str">
        <f t="shared" si="2"/>
        <v>Paid</v>
      </c>
      <c r="M73" s="5" t="str">
        <f t="shared" si="3"/>
        <v>2026-07</v>
      </c>
    </row>
    <row r="74">
      <c r="A74" s="5" t="str">
        <f>Invoices!A74</f>
        <v>INV-26-0155</v>
      </c>
      <c r="B74" s="5" t="str">
        <f>Invoices!B74</f>
        <v>ENG038</v>
      </c>
      <c r="C74" s="6">
        <f>Invoices!C74</f>
        <v>46209</v>
      </c>
      <c r="D74" s="6">
        <f>Invoices!D74</f>
        <v>46254</v>
      </c>
      <c r="E74" s="5">
        <f>IF(Invoices!E74="","",Invoices!E74)</f>
        <v>795000</v>
      </c>
      <c r="F74" s="5" t="str">
        <f t="array" ref="F74">_xlfn.XLOOKUP(B74,Engagement_Master!$A:$A,Engagement_Master!$B:$B,"NOT FOUND")</f>
        <v>Nova Motors Ltd</v>
      </c>
      <c r="G74" s="5" t="str">
        <f t="array" ref="G74">_xlfn.XLOOKUP(B74,Engagement_Master!$A:$A,Engagement_Master!$C:$C,"NOT FOUND")</f>
        <v>Tax</v>
      </c>
      <c r="H74" s="5" t="str">
        <f t="array" ref="H74">_xlfn.XLOOKUP(B74,Engagement_Master!$A:$A,Engagement_Master!$D:$D,"NOT FOUND")</f>
        <v>Neha Kapoor</v>
      </c>
      <c r="I74" s="5">
        <f>SUMIFS(Collections!$D:$D,Collections!$B:$B,A74)</f>
        <v>795000</v>
      </c>
      <c r="J74" s="5">
        <f t="shared" si="1"/>
        <v>0</v>
      </c>
      <c r="K74" s="5">
        <f>IF(J74="","",IF(J74&lt;=0,0,MAX(0,Control!$B$1-D74)))</f>
        <v>0</v>
      </c>
      <c r="L74" s="5" t="str">
        <f t="shared" si="2"/>
        <v>Paid</v>
      </c>
      <c r="M74" s="5" t="str">
        <f t="shared" si="3"/>
        <v>2026-07</v>
      </c>
    </row>
    <row r="75">
      <c r="A75" s="5" t="str">
        <f>Invoices!A75</f>
        <v>INV-26-0044</v>
      </c>
      <c r="B75" s="5" t="str">
        <f>Invoices!B75</f>
        <v>ENG011</v>
      </c>
      <c r="C75" s="6">
        <f>Invoices!C75</f>
        <v>46209</v>
      </c>
      <c r="D75" s="6">
        <f>Invoices!D75</f>
        <v>46239</v>
      </c>
      <c r="E75" s="5">
        <f>IF(Invoices!E75="","",Invoices!E75)</f>
        <v>688000</v>
      </c>
      <c r="F75" s="5" t="str">
        <f t="array" ref="F75">_xlfn.XLOOKUP(B75,Engagement_Master!$A:$A,Engagement_Master!$B:$B,"NOT FOUND")</f>
        <v>Kestrel Finance Ltd</v>
      </c>
      <c r="G75" s="5" t="str">
        <f t="array" ref="G75">_xlfn.XLOOKUP(B75,Engagement_Master!$A:$A,Engagement_Master!$C:$C,"NOT FOUND")</f>
        <v>Consulting</v>
      </c>
      <c r="H75" s="5" t="str">
        <f t="array" ref="H75">_xlfn.XLOOKUP(B75,Engagement_Master!$A:$A,Engagement_Master!$D:$D,"NOT FOUND")</f>
        <v>Vikram Iyer</v>
      </c>
      <c r="I75" s="5">
        <f>SUMIFS(Collections!$D:$D,Collections!$B:$B,A75)</f>
        <v>0</v>
      </c>
      <c r="J75" s="5">
        <f t="shared" si="1"/>
        <v>688000</v>
      </c>
      <c r="K75" s="5">
        <f>IF(J75="","",IF(J75&lt;=0,0,MAX(0,Control!$B$1-D75)))</f>
        <v>56</v>
      </c>
      <c r="L75" s="5" t="str">
        <f t="shared" si="2"/>
        <v>31-60</v>
      </c>
      <c r="M75" s="5" t="str">
        <f t="shared" si="3"/>
        <v>2026-07</v>
      </c>
    </row>
    <row r="76">
      <c r="A76" s="5" t="str">
        <f>Invoices!A76</f>
        <v>INV-26-0072</v>
      </c>
      <c r="B76" s="5" t="str">
        <f>Invoices!B76</f>
        <v>ENG018</v>
      </c>
      <c r="C76" s="6">
        <f>Invoices!C76</f>
        <v>46209</v>
      </c>
      <c r="D76" s="6">
        <f>Invoices!D76</f>
        <v>46239</v>
      </c>
      <c r="E76" s="5">
        <f>IF(Invoices!E76="","",Invoices!E76)</f>
        <v>1173000</v>
      </c>
      <c r="F76" s="5" t="str">
        <f t="array" ref="F76">_xlfn.XLOOKUP(B76,Engagement_Master!$A:$A,Engagement_Master!$B:$B,"NOT FOUND")</f>
        <v>Redwood Pharma Pvt Ltd</v>
      </c>
      <c r="G76" s="5" t="str">
        <f t="array" ref="G76">_xlfn.XLOOKUP(B76,Engagement_Master!$A:$A,Engagement_Master!$C:$C,"NOT FOUND")</f>
        <v>Tax</v>
      </c>
      <c r="H76" s="5" t="str">
        <f t="array" ref="H76">_xlfn.XLOOKUP(B76,Engagement_Master!$A:$A,Engagement_Master!$D:$D,"NOT FOUND")</f>
        <v>Neha Kapoor</v>
      </c>
      <c r="I76" s="5">
        <f>SUMIFS(Collections!$D:$D,Collections!$B:$B,A76)</f>
        <v>1173000</v>
      </c>
      <c r="J76" s="5">
        <f t="shared" si="1"/>
        <v>0</v>
      </c>
      <c r="K76" s="5">
        <f>IF(J76="","",IF(J76&lt;=0,0,MAX(0,Control!$B$1-D76)))</f>
        <v>0</v>
      </c>
      <c r="L76" s="5" t="str">
        <f t="shared" si="2"/>
        <v>Paid</v>
      </c>
      <c r="M76" s="5" t="str">
        <f t="shared" si="3"/>
        <v>2026-07</v>
      </c>
    </row>
    <row r="77">
      <c r="A77" s="5" t="str">
        <f>Invoices!A77</f>
        <v>INV-26-0104</v>
      </c>
      <c r="B77" s="5" t="str">
        <f>Invoices!B77</f>
        <v>ENG026</v>
      </c>
      <c r="C77" s="6">
        <f>Invoices!C77</f>
        <v>46210</v>
      </c>
      <c r="D77" s="6">
        <f>Invoices!D77</f>
        <v>46270</v>
      </c>
      <c r="E77" s="5">
        <f>IF(Invoices!E77="","",Invoices!E77)</f>
        <v>908000</v>
      </c>
      <c r="F77" s="5" t="str">
        <f t="array" ref="F77">_xlfn.XLOOKUP(B77,Engagement_Master!$A:$A,Engagement_Master!$B:$B,"NOT FOUND")</f>
        <v>Banyan Pharma Pvt Ltd</v>
      </c>
      <c r="G77" s="5" t="str">
        <f t="array" ref="G77">_xlfn.XLOOKUP(B77,Engagement_Master!$A:$A,Engagement_Master!$C:$C,"NOT FOUND")</f>
        <v>Tax</v>
      </c>
      <c r="H77" s="5" t="str">
        <f t="array" ref="H77">_xlfn.XLOOKUP(B77,Engagement_Master!$A:$A,Engagement_Master!$D:$D,"NOT FOUND")</f>
        <v>Neha Kapoor</v>
      </c>
      <c r="I77" s="5">
        <f>SUMIFS(Collections!$D:$D,Collections!$B:$B,A77)</f>
        <v>908000</v>
      </c>
      <c r="J77" s="5">
        <f t="shared" si="1"/>
        <v>0</v>
      </c>
      <c r="K77" s="5">
        <f>IF(J77="","",IF(J77&lt;=0,0,MAX(0,Control!$B$1-D77)))</f>
        <v>0</v>
      </c>
      <c r="L77" s="5" t="str">
        <f t="shared" si="2"/>
        <v>Paid</v>
      </c>
      <c r="M77" s="5" t="str">
        <f t="shared" si="3"/>
        <v>2026-07</v>
      </c>
    </row>
    <row r="78">
      <c r="A78" s="5" t="str">
        <f>Invoices!A78</f>
        <v>INV-26-0099</v>
      </c>
      <c r="B78" s="5" t="str">
        <f>Invoices!B78</f>
        <v>ENG025</v>
      </c>
      <c r="C78" s="6">
        <f>Invoices!C78</f>
        <v>46211</v>
      </c>
      <c r="D78" s="6">
        <f>Invoices!D78</f>
        <v>46241</v>
      </c>
      <c r="E78" s="5">
        <f>IF(Invoices!E78="","",Invoices!E78)</f>
        <v>1254000</v>
      </c>
      <c r="F78" s="5" t="str">
        <f t="array" ref="F78">_xlfn.XLOOKUP(B78,Engagement_Master!$A:$A,Engagement_Master!$B:$B,"NOT FOUND")</f>
        <v>Aurora Industries Ltd</v>
      </c>
      <c r="G78" s="5" t="str">
        <f t="array" ref="G78">_xlfn.XLOOKUP(B78,Engagement_Master!$A:$A,Engagement_Master!$C:$C,"NOT FOUND")</f>
        <v>Audit</v>
      </c>
      <c r="H78" s="5" t="str">
        <f t="array" ref="H78">_xlfn.XLOOKUP(B78,Engagement_Master!$A:$A,Engagement_Master!$D:$D,"NOT FOUND")</f>
        <v>Anil Mehta</v>
      </c>
      <c r="I78" s="5">
        <f>SUMIFS(Collections!$D:$D,Collections!$B:$B,A78)</f>
        <v>1254000</v>
      </c>
      <c r="J78" s="5">
        <f t="shared" si="1"/>
        <v>0</v>
      </c>
      <c r="K78" s="5">
        <f>IF(J78="","",IF(J78&lt;=0,0,MAX(0,Control!$B$1-D78)))</f>
        <v>0</v>
      </c>
      <c r="L78" s="5" t="str">
        <f t="shared" si="2"/>
        <v>Paid</v>
      </c>
      <c r="M78" s="5" t="str">
        <f t="shared" si="3"/>
        <v>2026-07</v>
      </c>
    </row>
    <row r="79">
      <c r="A79" s="5" t="str">
        <f>Invoices!A79</f>
        <v>INV-26-0008</v>
      </c>
      <c r="B79" s="5" t="str">
        <f>Invoices!B79</f>
        <v>ENG002</v>
      </c>
      <c r="C79" s="6">
        <f>Invoices!C79</f>
        <v>46211</v>
      </c>
      <c r="D79" s="6">
        <f>Invoices!D79</f>
        <v>46241</v>
      </c>
      <c r="E79" s="5">
        <f>IF(Invoices!E79="","",Invoices!E79)</f>
        <v>1216000</v>
      </c>
      <c r="F79" s="5" t="str">
        <f t="array" ref="F79">_xlfn.XLOOKUP(B79,Engagement_Master!$A:$A,Engagement_Master!$B:$B,"NOT FOUND")</f>
        <v>Bluestone Pharma Pvt Ltd</v>
      </c>
      <c r="G79" s="5" t="str">
        <f t="array" ref="G79">_xlfn.XLOOKUP(B79,Engagement_Master!$A:$A,Engagement_Master!$C:$C,"NOT FOUND")</f>
        <v>Tax</v>
      </c>
      <c r="H79" s="5" t="str">
        <f t="array" ref="H79">_xlfn.XLOOKUP(B79,Engagement_Master!$A:$A,Engagement_Master!$D:$D,"NOT FOUND")</f>
        <v>Rohit Sharma</v>
      </c>
      <c r="I79" s="5">
        <f>SUMIFS(Collections!$D:$D,Collections!$B:$B,A79)</f>
        <v>1216000</v>
      </c>
      <c r="J79" s="5">
        <f t="shared" si="1"/>
        <v>0</v>
      </c>
      <c r="K79" s="5">
        <f>IF(J79="","",IF(J79&lt;=0,0,MAX(0,Control!$B$1-D79)))</f>
        <v>0</v>
      </c>
      <c r="L79" s="5" t="str">
        <f t="shared" si="2"/>
        <v>Paid</v>
      </c>
      <c r="M79" s="5" t="str">
        <f t="shared" si="3"/>
        <v>2026-07</v>
      </c>
    </row>
    <row r="80">
      <c r="A80" s="5" t="str">
        <f>Invoices!A80</f>
        <v>INV-26-0022</v>
      </c>
      <c r="B80" s="5" t="str">
        <f>Invoices!B80</f>
        <v>ENG006</v>
      </c>
      <c r="C80" s="6">
        <f>Invoices!C80</f>
        <v>46212</v>
      </c>
      <c r="D80" s="6">
        <f>Invoices!D80</f>
        <v>46242</v>
      </c>
      <c r="E80" s="5">
        <f>IF(Invoices!E80="","",Invoices!E80)</f>
        <v>760000</v>
      </c>
      <c r="F80" s="5" t="str">
        <f t="array" ref="F80">_xlfn.XLOOKUP(B80,Engagement_Master!$A:$A,Engagement_Master!$B:$B,"NOT FOUND")</f>
        <v>Fulcrum Motors Ltd</v>
      </c>
      <c r="G80" s="5" t="str">
        <f t="array" ref="G80">_xlfn.XLOOKUP(B80,Engagement_Master!$A:$A,Engagement_Master!$C:$C,"NOT FOUND")</f>
        <v>Tax</v>
      </c>
      <c r="H80" s="5" t="str">
        <f t="array" ref="H80">_xlfn.XLOOKUP(B80,Engagement_Master!$A:$A,Engagement_Master!$D:$D,"NOT FOUND")</f>
        <v>Rohit Sharma</v>
      </c>
      <c r="I80" s="5">
        <f>SUMIFS(Collections!$D:$D,Collections!$B:$B,A80)</f>
        <v>0</v>
      </c>
      <c r="J80" s="5">
        <f t="shared" si="1"/>
        <v>760000</v>
      </c>
      <c r="K80" s="5">
        <f>IF(J80="","",IF(J80&lt;=0,0,MAX(0,Control!$B$1-D80)))</f>
        <v>53</v>
      </c>
      <c r="L80" s="5" t="str">
        <f t="shared" si="2"/>
        <v>31-60</v>
      </c>
      <c r="M80" s="5" t="str">
        <f t="shared" si="3"/>
        <v>2026-07</v>
      </c>
    </row>
    <row r="81">
      <c r="A81" s="5" t="str">
        <f>Invoices!A81</f>
        <v>INV-26-0133</v>
      </c>
      <c r="B81" s="5" t="str">
        <f>Invoices!B81</f>
        <v>ENG033</v>
      </c>
      <c r="C81" s="6">
        <f>Invoices!C81</f>
        <v>46212</v>
      </c>
      <c r="D81" s="6">
        <f>Invoices!D81</f>
        <v>46242</v>
      </c>
      <c r="E81" s="5">
        <f>IF(Invoices!E81="","",Invoices!E81)</f>
        <v>832000</v>
      </c>
      <c r="F81" s="5" t="str">
        <f t="array" ref="F81">_xlfn.XLOOKUP(B81,Engagement_Master!$A:$A,Engagement_Master!$B:$B,"NOT FOUND")</f>
        <v>Ivory Industries Ltd</v>
      </c>
      <c r="G81" s="5" t="str">
        <f t="array" ref="G81">_xlfn.XLOOKUP(B81,Engagement_Master!$A:$A,Engagement_Master!$C:$C,"NOT FOUND")</f>
        <v>Audit</v>
      </c>
      <c r="H81" s="5" t="str">
        <f t="array" ref="H81">_xlfn.XLOOKUP(B81,Engagement_Master!$A:$A,Engagement_Master!$D:$D,"NOT FOUND")</f>
        <v>Anil Mehta</v>
      </c>
      <c r="I81" s="5">
        <f>SUMIFS(Collections!$D:$D,Collections!$B:$B,A81)</f>
        <v>832000</v>
      </c>
      <c r="J81" s="5">
        <f t="shared" si="1"/>
        <v>0</v>
      </c>
      <c r="K81" s="5">
        <f>IF(J81="","",IF(J81&lt;=0,0,MAX(0,Control!$B$1-D81)))</f>
        <v>0</v>
      </c>
      <c r="L81" s="5" t="str">
        <f t="shared" si="2"/>
        <v>Paid</v>
      </c>
      <c r="M81" s="5" t="str">
        <f t="shared" si="3"/>
        <v>2026-07</v>
      </c>
    </row>
    <row r="82">
      <c r="A82" s="5" t="str">
        <f>Invoices!A82</f>
        <v>INV-26-0124</v>
      </c>
      <c r="B82" s="5" t="str">
        <f>Invoices!B82</f>
        <v>ENG031</v>
      </c>
      <c r="C82" s="6">
        <f>Invoices!C82</f>
        <v>46213</v>
      </c>
      <c r="D82" s="6">
        <f>Invoices!D82</f>
        <v>46273</v>
      </c>
      <c r="E82" s="5">
        <f>IF(Invoices!E82="","",Invoices!E82)</f>
        <v>1635000</v>
      </c>
      <c r="F82" s="5" t="str">
        <f t="array" ref="F82">_xlfn.XLOOKUP(B82,Engagement_Master!$A:$A,Engagement_Master!$B:$B,"NOT FOUND")</f>
        <v>Glacier Energy Ltd</v>
      </c>
      <c r="G82" s="5" t="str">
        <f t="array" ref="G82">_xlfn.XLOOKUP(B82,Engagement_Master!$A:$A,Engagement_Master!$C:$C,"NOT FOUND")</f>
        <v>Consulting</v>
      </c>
      <c r="H82" s="5" t="str">
        <f t="array" ref="H82">_xlfn.XLOOKUP(B82,Engagement_Master!$A:$A,Engagement_Master!$D:$D,"NOT FOUND")</f>
        <v>Priya Nair</v>
      </c>
      <c r="I82" s="5">
        <f>SUMIFS(Collections!$D:$D,Collections!$B:$B,A82)</f>
        <v>0</v>
      </c>
      <c r="J82" s="5">
        <f t="shared" si="1"/>
        <v>1635000</v>
      </c>
      <c r="K82" s="5">
        <f>IF(J82="","",IF(J82&lt;=0,0,MAX(0,Control!$B$1-D82)))</f>
        <v>22</v>
      </c>
      <c r="L82" s="5" t="str">
        <f t="shared" si="2"/>
        <v>0-30</v>
      </c>
      <c r="M82" s="5" t="str">
        <f t="shared" si="3"/>
        <v>2026-07</v>
      </c>
    </row>
    <row r="83">
      <c r="A83" s="5" t="str">
        <f>Invoices!A83</f>
        <v>INV-26-0040</v>
      </c>
      <c r="B83" s="5" t="str">
        <f>Invoices!B83</f>
        <v>ENG010</v>
      </c>
      <c r="C83" s="6">
        <f>Invoices!C83</f>
        <v>46213</v>
      </c>
      <c r="D83" s="6">
        <f>Invoices!D83</f>
        <v>46243</v>
      </c>
      <c r="E83" s="5">
        <f>IF(Invoices!E83="","",Invoices!E83)</f>
        <v>1503000</v>
      </c>
      <c r="F83" s="5" t="str">
        <f t="array" ref="F83">_xlfn.XLOOKUP(B83,Engagement_Master!$A:$A,Engagement_Master!$B:$B,"NOT FOUND")</f>
        <v>Jade Pharma Pvt Ltd</v>
      </c>
      <c r="G83" s="5" t="str">
        <f t="array" ref="G83">_xlfn.XLOOKUP(B83,Engagement_Master!$A:$A,Engagement_Master!$C:$C,"NOT FOUND")</f>
        <v>Tax</v>
      </c>
      <c r="H83" s="5" t="str">
        <f t="array" ref="H83">_xlfn.XLOOKUP(B83,Engagement_Master!$A:$A,Engagement_Master!$D:$D,"NOT FOUND")</f>
        <v>Rohit Sharma</v>
      </c>
      <c r="I83" s="5">
        <f>SUMIFS(Collections!$D:$D,Collections!$B:$B,A83)</f>
        <v>1503000</v>
      </c>
      <c r="J83" s="5">
        <f t="shared" si="1"/>
        <v>0</v>
      </c>
      <c r="K83" s="5">
        <f>IF(J83="","",IF(J83&lt;=0,0,MAX(0,Control!$B$1-D83)))</f>
        <v>0</v>
      </c>
      <c r="L83" s="5" t="str">
        <f t="shared" si="2"/>
        <v>Paid</v>
      </c>
      <c r="M83" s="5" t="str">
        <f t="shared" si="3"/>
        <v>2026-07</v>
      </c>
    </row>
    <row r="84">
      <c r="A84" s="5" t="str">
        <f>Invoices!A84</f>
        <v>INV-26-0010</v>
      </c>
      <c r="B84" s="5" t="str">
        <f>Invoices!B84</f>
        <v>ENG003</v>
      </c>
      <c r="C84" s="6">
        <f>Invoices!C84</f>
        <v>46213</v>
      </c>
      <c r="D84" s="6">
        <f>Invoices!D84</f>
        <v>46243</v>
      </c>
      <c r="E84" s="5">
        <f>IF(Invoices!E84="","",Invoices!E84)</f>
        <v>732000</v>
      </c>
      <c r="F84" s="5" t="str">
        <f t="array" ref="F84">_xlfn.XLOOKUP(B84,Engagement_Master!$A:$A,Engagement_Master!$B:$B,"NOT FOUND")</f>
        <v>Crestline Finance Ltd</v>
      </c>
      <c r="G84" s="5" t="str">
        <f t="array" ref="G84">_xlfn.XLOOKUP(B84,Engagement_Master!$A:$A,Engagement_Master!$C:$C,"NOT FOUND")</f>
        <v>Consulting</v>
      </c>
      <c r="H84" s="5" t="str">
        <f t="array" ref="H84">_xlfn.XLOOKUP(B84,Engagement_Master!$A:$A,Engagement_Master!$D:$D,"NOT FOUND")</f>
        <v>Vikram Iyer</v>
      </c>
      <c r="I84" s="5">
        <f>SUMIFS(Collections!$D:$D,Collections!$B:$B,A84)</f>
        <v>0</v>
      </c>
      <c r="J84" s="5">
        <f t="shared" si="1"/>
        <v>732000</v>
      </c>
      <c r="K84" s="5">
        <f>IF(J84="","",IF(J84&lt;=0,0,MAX(0,Control!$B$1-D84)))</f>
        <v>52</v>
      </c>
      <c r="L84" s="5" t="str">
        <f t="shared" si="2"/>
        <v>31-60</v>
      </c>
      <c r="M84" s="5" t="str">
        <f t="shared" si="3"/>
        <v>2026-07</v>
      </c>
    </row>
    <row r="85">
      <c r="A85" s="5" t="str">
        <f>Invoices!A85</f>
        <v>INV-26-0068</v>
      </c>
      <c r="B85" s="5" t="str">
        <f>Invoices!B85</f>
        <v>ENG017</v>
      </c>
      <c r="C85" s="6">
        <f>Invoices!C85</f>
        <v>46213</v>
      </c>
      <c r="D85" s="6">
        <f>Invoices!D85</f>
        <v>46258</v>
      </c>
      <c r="E85" s="5">
        <f>IF(Invoices!E85="","",Invoices!E85)</f>
        <v>359000</v>
      </c>
      <c r="F85" s="5" t="str">
        <f t="array" ref="F85">_xlfn.XLOOKUP(B85,Engagement_Master!$A:$A,Engagement_Master!$B:$B,"NOT FOUND")</f>
        <v>Quantum Industries Ltd</v>
      </c>
      <c r="G85" s="5" t="str">
        <f t="array" ref="G85">_xlfn.XLOOKUP(B85,Engagement_Master!$A:$A,Engagement_Master!$C:$C,"NOT FOUND")</f>
        <v>Audit</v>
      </c>
      <c r="H85" s="5" t="str">
        <f t="array" ref="H85">_xlfn.XLOOKUP(B85,Engagement_Master!$A:$A,Engagement_Master!$D:$D,"NOT FOUND")</f>
        <v>Anil Mehta</v>
      </c>
      <c r="I85" s="5">
        <f>SUMIFS(Collections!$D:$D,Collections!$B:$B,A85)</f>
        <v>359000</v>
      </c>
      <c r="J85" s="5">
        <f t="shared" si="1"/>
        <v>0</v>
      </c>
      <c r="K85" s="5">
        <f>IF(J85="","",IF(J85&lt;=0,0,MAX(0,Control!$B$1-D85)))</f>
        <v>0</v>
      </c>
      <c r="L85" s="5" t="str">
        <f t="shared" si="2"/>
        <v>Paid</v>
      </c>
      <c r="M85" s="5" t="str">
        <f t="shared" si="3"/>
        <v>2026-07</v>
      </c>
    </row>
    <row r="86">
      <c r="A86" s="5" t="str">
        <f>Invoices!A86</f>
        <v>INV-26-0059</v>
      </c>
      <c r="B86" s="5" t="str">
        <f>Invoices!B86</f>
        <v>ENG015</v>
      </c>
      <c r="C86" s="6">
        <f>Invoices!C86</f>
        <v>46214</v>
      </c>
      <c r="D86" s="6">
        <f>Invoices!D86</f>
        <v>46259</v>
      </c>
      <c r="E86" s="5">
        <f>IF(Invoices!E86="","",Invoices!E86)</f>
        <v>642000</v>
      </c>
      <c r="F86" s="5" t="str">
        <f t="array" ref="F86">_xlfn.XLOOKUP(B86,Engagement_Master!$A:$A,Engagement_Master!$B:$B,"NOT FOUND")</f>
        <v>Orion Energy Ltd</v>
      </c>
      <c r="G86" s="5" t="str">
        <f t="array" ref="G86">_xlfn.XLOOKUP(B86,Engagement_Master!$A:$A,Engagement_Master!$C:$C,"NOT FOUND")</f>
        <v>Consulting</v>
      </c>
      <c r="H86" s="5" t="str">
        <f t="array" ref="H86">_xlfn.XLOOKUP(B86,Engagement_Master!$A:$A,Engagement_Master!$D:$D,"NOT FOUND")</f>
        <v>Priya Nair</v>
      </c>
      <c r="I86" s="5">
        <f>SUMIFS(Collections!$D:$D,Collections!$B:$B,A86)</f>
        <v>0</v>
      </c>
      <c r="J86" s="5">
        <f t="shared" si="1"/>
        <v>642000</v>
      </c>
      <c r="K86" s="5">
        <f>IF(J86="","",IF(J86&lt;=0,0,MAX(0,Control!$B$1-D86)))</f>
        <v>36</v>
      </c>
      <c r="L86" s="5" t="str">
        <f t="shared" si="2"/>
        <v>31-60</v>
      </c>
      <c r="M86" s="5" t="str">
        <f t="shared" si="3"/>
        <v>2026-07</v>
      </c>
    </row>
    <row r="87">
      <c r="A87" s="5" t="str">
        <f>Invoices!A87</f>
        <v>INV-26-0090</v>
      </c>
      <c r="B87" s="5" t="str">
        <f>Invoices!B87</f>
        <v>ENG022</v>
      </c>
      <c r="C87" s="6">
        <f>Invoices!C87</f>
        <v>46214</v>
      </c>
      <c r="D87" s="6">
        <f>Invoices!D87</f>
        <v>46244</v>
      </c>
      <c r="E87" s="5">
        <f>IF(Invoices!E87="","",Invoices!E87)</f>
        <v>1207000</v>
      </c>
      <c r="F87" s="5" t="str">
        <f t="array" ref="F87">_xlfn.XLOOKUP(B87,Engagement_Master!$A:$A,Engagement_Master!$B:$B,"NOT FOUND")</f>
        <v>Vertex Motors Ltd</v>
      </c>
      <c r="G87" s="5" t="str">
        <f t="array" ref="G87">_xlfn.XLOOKUP(B87,Engagement_Master!$A:$A,Engagement_Master!$C:$C,"NOT FOUND")</f>
        <v>Tax</v>
      </c>
      <c r="H87" s="5" t="str">
        <f t="array" ref="H87">_xlfn.XLOOKUP(B87,Engagement_Master!$A:$A,Engagement_Master!$D:$D,"NOT FOUND")</f>
        <v>Rohit Sharma</v>
      </c>
      <c r="I87" s="5">
        <f>SUMIFS(Collections!$D:$D,Collections!$B:$B,A87)</f>
        <v>0</v>
      </c>
      <c r="J87" s="5">
        <f t="shared" si="1"/>
        <v>1207000</v>
      </c>
      <c r="K87" s="5">
        <f>IF(J87="","",IF(J87&lt;=0,0,MAX(0,Control!$B$1-D87)))</f>
        <v>51</v>
      </c>
      <c r="L87" s="5" t="str">
        <f t="shared" si="2"/>
        <v>31-60</v>
      </c>
      <c r="M87" s="5" t="str">
        <f t="shared" si="3"/>
        <v>2026-07</v>
      </c>
    </row>
    <row r="88">
      <c r="A88" s="5" t="str">
        <f>Invoices!A88</f>
        <v>INV-26-0027</v>
      </c>
      <c r="B88" s="5" t="str">
        <f>Invoices!B88</f>
        <v>ENG007</v>
      </c>
      <c r="C88" s="6">
        <f>Invoices!C88</f>
        <v>46216</v>
      </c>
      <c r="D88" s="6">
        <f>Invoices!D88</f>
        <v>46276</v>
      </c>
      <c r="E88" s="5">
        <f>IF(Invoices!E88="","",Invoices!E88)</f>
        <v>920000</v>
      </c>
      <c r="F88" s="5" t="str">
        <f t="array" ref="F88">_xlfn.XLOOKUP(B88,Engagement_Master!$A:$A,Engagement_Master!$B:$B,"NOT FOUND")</f>
        <v>Granite Energy Ltd</v>
      </c>
      <c r="G88" s="5" t="str">
        <f t="array" ref="G88">_xlfn.XLOOKUP(B88,Engagement_Master!$A:$A,Engagement_Master!$C:$C,"NOT FOUND")</f>
        <v>Consulting</v>
      </c>
      <c r="H88" s="5" t="str">
        <f t="array" ref="H88">_xlfn.XLOOKUP(B88,Engagement_Master!$A:$A,Engagement_Master!$D:$D,"NOT FOUND")</f>
        <v>Vikram Iyer</v>
      </c>
      <c r="I88" s="5">
        <f>SUMIFS(Collections!$D:$D,Collections!$B:$B,A88)</f>
        <v>0</v>
      </c>
      <c r="J88" s="5">
        <f t="shared" si="1"/>
        <v>920000</v>
      </c>
      <c r="K88" s="5">
        <f>IF(J88="","",IF(J88&lt;=0,0,MAX(0,Control!$B$1-D88)))</f>
        <v>19</v>
      </c>
      <c r="L88" s="5" t="str">
        <f t="shared" si="2"/>
        <v>0-30</v>
      </c>
      <c r="M88" s="5" t="str">
        <f t="shared" si="3"/>
        <v>2026-07</v>
      </c>
    </row>
    <row r="89">
      <c r="A89" s="5" t="str">
        <f>Invoices!A89</f>
        <v>INV-26-0053</v>
      </c>
      <c r="B89" s="5" t="str">
        <f>Invoices!B89</f>
        <v>ENG013</v>
      </c>
      <c r="C89" s="6">
        <f>Invoices!C89</f>
        <v>46216</v>
      </c>
      <c r="D89" s="6">
        <f>Invoices!D89</f>
        <v>46261</v>
      </c>
      <c r="E89" s="5">
        <f>IF(Invoices!E89="","",Invoices!E89)</f>
        <v>1208000</v>
      </c>
      <c r="F89" s="5" t="str">
        <f t="array" ref="F89">_xlfn.XLOOKUP(B89,Engagement_Master!$A:$A,Engagement_Master!$B:$B,"NOT FOUND")</f>
        <v>Meridian Infotech Pvt Ltd</v>
      </c>
      <c r="G89" s="5" t="str">
        <f t="array" ref="G89">_xlfn.XLOOKUP(B89,Engagement_Master!$A:$A,Engagement_Master!$C:$C,"NOT FOUND")</f>
        <v>Audit</v>
      </c>
      <c r="H89" s="5" t="str">
        <f t="array" ref="H89">_xlfn.XLOOKUP(B89,Engagement_Master!$A:$A,Engagement_Master!$D:$D,"NOT FOUND")</f>
        <v>Anil Mehta</v>
      </c>
      <c r="I89" s="5">
        <f>SUMIFS(Collections!$D:$D,Collections!$B:$B,A89)</f>
        <v>0</v>
      </c>
      <c r="J89" s="5">
        <f t="shared" si="1"/>
        <v>1208000</v>
      </c>
      <c r="K89" s="5">
        <f>IF(J89="","",IF(J89&lt;=0,0,MAX(0,Control!$B$1-D89)))</f>
        <v>34</v>
      </c>
      <c r="L89" s="5" t="str">
        <f t="shared" si="2"/>
        <v>31-60</v>
      </c>
      <c r="M89" s="5" t="str">
        <f t="shared" si="3"/>
        <v>2026-07</v>
      </c>
    </row>
    <row r="90">
      <c r="A90" s="5" t="str">
        <f>Invoices!A90</f>
        <v>INV-26-0164</v>
      </c>
      <c r="B90" s="5" t="str">
        <f>Invoices!B90</f>
        <v>ENG040</v>
      </c>
      <c r="C90" s="6">
        <f>Invoices!C90</f>
        <v>46218</v>
      </c>
      <c r="D90" s="6">
        <f>Invoices!D90</f>
        <v>46248</v>
      </c>
      <c r="E90" s="5">
        <f>IF(Invoices!E90="","",Invoices!E90)</f>
        <v>904000</v>
      </c>
      <c r="F90" s="5" t="str">
        <f t="array" ref="F90">_xlfn.XLOOKUP(B90,Engagement_Master!$A:$A,Engagement_Master!$B:$B,"NOT FOUND")</f>
        <v>Pioneer Foods Pvt Ltd</v>
      </c>
      <c r="G90" s="5" t="str">
        <f t="array" ref="G90">_xlfn.XLOOKUP(B90,Engagement_Master!$A:$A,Engagement_Master!$C:$C,"NOT FOUND")</f>
        <v>Risk Advisory</v>
      </c>
      <c r="H90" s="5" t="str">
        <f t="array" ref="H90">_xlfn.XLOOKUP(B90,Engagement_Master!$A:$A,Engagement_Master!$D:$D,"NOT FOUND")</f>
        <v>Sanjay Gupta</v>
      </c>
      <c r="I90" s="5">
        <f>SUMIFS(Collections!$D:$D,Collections!$B:$B,A90)</f>
        <v>904000</v>
      </c>
      <c r="J90" s="5">
        <f t="shared" si="1"/>
        <v>0</v>
      </c>
      <c r="K90" s="5">
        <f>IF(J90="","",IF(J90&lt;=0,0,MAX(0,Control!$B$1-D90)))</f>
        <v>0</v>
      </c>
      <c r="L90" s="5" t="str">
        <f t="shared" si="2"/>
        <v>Paid</v>
      </c>
      <c r="M90" s="5" t="str">
        <f t="shared" si="3"/>
        <v>2026-07</v>
      </c>
    </row>
    <row r="91">
      <c r="A91" s="5" t="str">
        <f>Invoices!A91</f>
        <v>INV-26-0113</v>
      </c>
      <c r="B91" s="5" t="str">
        <f>Invoices!B91</f>
        <v>ENG028</v>
      </c>
      <c r="C91" s="6">
        <f>Invoices!C91</f>
        <v>46218</v>
      </c>
      <c r="D91" s="6">
        <f>Invoices!D91</f>
        <v>46278</v>
      </c>
      <c r="E91" s="5">
        <f>IF(Invoices!E91="","",Invoices!E91)</f>
        <v>1066000</v>
      </c>
      <c r="F91" s="5" t="str">
        <f t="array" ref="F91">_xlfn.XLOOKUP(B91,Engagement_Master!$A:$A,Engagement_Master!$B:$B,"NOT FOUND")</f>
        <v>Delta Retail Ltd</v>
      </c>
      <c r="G91" s="5" t="str">
        <f t="array" ref="G91">_xlfn.XLOOKUP(B91,Engagement_Master!$A:$A,Engagement_Master!$C:$C,"NOT FOUND")</f>
        <v>Risk Advisory</v>
      </c>
      <c r="H91" s="5" t="str">
        <f t="array" ref="H91">_xlfn.XLOOKUP(B91,Engagement_Master!$A:$A,Engagement_Master!$D:$D,"NOT FOUND")</f>
        <v>Meera Joshi</v>
      </c>
      <c r="I91" s="5">
        <f>SUMIFS(Collections!$D:$D,Collections!$B:$B,A91)</f>
        <v>0</v>
      </c>
      <c r="J91" s="5">
        <f t="shared" si="1"/>
        <v>1066000</v>
      </c>
      <c r="K91" s="5">
        <f>IF(J91="","",IF(J91&lt;=0,0,MAX(0,Control!$B$1-D91)))</f>
        <v>17</v>
      </c>
      <c r="L91" s="5" t="str">
        <f t="shared" si="2"/>
        <v>0-30</v>
      </c>
      <c r="M91" s="5" t="str">
        <f t="shared" si="3"/>
        <v>2026-07</v>
      </c>
    </row>
    <row r="92">
      <c r="A92" s="5" t="str">
        <f>Invoices!A92</f>
        <v>INV-26-0142</v>
      </c>
      <c r="B92" s="5" t="str">
        <f>Invoices!B92</f>
        <v>ENG035</v>
      </c>
      <c r="C92" s="6">
        <f>Invoices!C92</f>
        <v>46219</v>
      </c>
      <c r="D92" s="6">
        <f>Invoices!D92</f>
        <v>46279</v>
      </c>
      <c r="E92" s="5">
        <f>IF(Invoices!E92="","",Invoices!E92)</f>
        <v>211000</v>
      </c>
      <c r="F92" s="5" t="str">
        <f t="array" ref="F92">_xlfn.XLOOKUP(B92,Engagement_Master!$A:$A,Engagement_Master!$B:$B,"NOT FOUND")</f>
        <v>Krypton Finance Ltd</v>
      </c>
      <c r="G92" s="5" t="str">
        <f t="array" ref="G92">_xlfn.XLOOKUP(B92,Engagement_Master!$A:$A,Engagement_Master!$C:$C,"NOT FOUND")</f>
        <v>Consulting</v>
      </c>
      <c r="H92" s="5" t="str">
        <f t="array" ref="H92">_xlfn.XLOOKUP(B92,Engagement_Master!$A:$A,Engagement_Master!$D:$D,"NOT FOUND")</f>
        <v>Priya Nair</v>
      </c>
      <c r="I92" s="5">
        <f>SUMIFS(Collections!$D:$D,Collections!$B:$B,A92)</f>
        <v>0</v>
      </c>
      <c r="J92" s="5">
        <f t="shared" si="1"/>
        <v>211000</v>
      </c>
      <c r="K92" s="5">
        <f>IF(J92="","",IF(J92&lt;=0,0,MAX(0,Control!$B$1-D92)))</f>
        <v>16</v>
      </c>
      <c r="L92" s="5" t="str">
        <f t="shared" si="2"/>
        <v>0-30</v>
      </c>
      <c r="M92" s="5" t="str">
        <f t="shared" si="3"/>
        <v>2026-07</v>
      </c>
    </row>
    <row r="93">
      <c r="A93" s="5" t="str">
        <f>Invoices!A93</f>
        <v>INV-26-0018</v>
      </c>
      <c r="B93" s="5" t="str">
        <f>Invoices!B93</f>
        <v>ENG005</v>
      </c>
      <c r="C93" s="6">
        <f>Invoices!C93</f>
        <v>46220</v>
      </c>
      <c r="D93" s="6">
        <f>Invoices!D93</f>
        <v>46250</v>
      </c>
      <c r="E93" s="5">
        <f>IF(Invoices!E93="","",Invoices!E93)</f>
        <v>433000</v>
      </c>
      <c r="F93" s="5" t="str">
        <f t="array" ref="F93">_xlfn.XLOOKUP(B93,Engagement_Master!$A:$A,Engagement_Master!$B:$B,"NOT FOUND")</f>
        <v>Everest Infotech Pvt Ltd</v>
      </c>
      <c r="G93" s="5" t="str">
        <f t="array" ref="G93">_xlfn.XLOOKUP(B93,Engagement_Master!$A:$A,Engagement_Master!$C:$C,"NOT FOUND")</f>
        <v>Audit</v>
      </c>
      <c r="H93" s="5" t="str">
        <f t="array" ref="H93">_xlfn.XLOOKUP(B93,Engagement_Master!$A:$A,Engagement_Master!$D:$D,"NOT FOUND")</f>
        <v>Anil Mehta</v>
      </c>
      <c r="I93" s="5">
        <f>SUMIFS(Collections!$D:$D,Collections!$B:$B,A93)</f>
        <v>0</v>
      </c>
      <c r="J93" s="5">
        <f t="shared" si="1"/>
        <v>433000</v>
      </c>
      <c r="K93" s="5">
        <f>IF(J93="","",IF(J93&lt;=0,0,MAX(0,Control!$B$1-D93)))</f>
        <v>45</v>
      </c>
      <c r="L93" s="5" t="str">
        <f t="shared" si="2"/>
        <v>31-60</v>
      </c>
      <c r="M93" s="5" t="str">
        <f t="shared" si="3"/>
        <v>2026-07</v>
      </c>
    </row>
    <row r="94">
      <c r="A94" s="5" t="str">
        <f>Invoices!A94</f>
        <v>INV-26-0116</v>
      </c>
      <c r="B94" s="5" t="str">
        <f>Invoices!B94</f>
        <v>ENG029</v>
      </c>
      <c r="C94" s="6">
        <f>Invoices!C94</f>
        <v>46220</v>
      </c>
      <c r="D94" s="6">
        <f>Invoices!D94</f>
        <v>46250</v>
      </c>
      <c r="E94" s="5">
        <f>IF(Invoices!E94="","",Invoices!E94)</f>
        <v>972000</v>
      </c>
      <c r="F94" s="5" t="str">
        <f t="array" ref="F94">_xlfn.XLOOKUP(B94,Engagement_Master!$A:$A,Engagement_Master!$B:$B,"NOT FOUND")</f>
        <v>Ember Infotech Pvt Ltd</v>
      </c>
      <c r="G94" s="5" t="str">
        <f t="array" ref="G94">_xlfn.XLOOKUP(B94,Engagement_Master!$A:$A,Engagement_Master!$C:$C,"NOT FOUND")</f>
        <v>Audit</v>
      </c>
      <c r="H94" s="5" t="str">
        <f t="array" ref="H94">_xlfn.XLOOKUP(B94,Engagement_Master!$A:$A,Engagement_Master!$D:$D,"NOT FOUND")</f>
        <v>Kavita Rao</v>
      </c>
      <c r="I94" s="5">
        <f>SUMIFS(Collections!$D:$D,Collections!$B:$B,A94)</f>
        <v>972000</v>
      </c>
      <c r="J94" s="5">
        <f t="shared" si="1"/>
        <v>0</v>
      </c>
      <c r="K94" s="5">
        <f>IF(J94="","",IF(J94&lt;=0,0,MAX(0,Control!$B$1-D94)))</f>
        <v>0</v>
      </c>
      <c r="L94" s="5" t="str">
        <f t="shared" si="2"/>
        <v>Paid</v>
      </c>
      <c r="M94" s="5" t="str">
        <f t="shared" si="3"/>
        <v>2026-07</v>
      </c>
    </row>
    <row r="95">
      <c r="A95" s="5" t="str">
        <f>Invoices!A95</f>
        <v>INV-26-0018</v>
      </c>
      <c r="B95" s="5" t="str">
        <f>Invoices!B95</f>
        <v>ENG005</v>
      </c>
      <c r="C95" s="6">
        <f>Invoices!C95</f>
        <v>46220</v>
      </c>
      <c r="D95" s="6">
        <f>Invoices!D95</f>
        <v>46250</v>
      </c>
      <c r="E95" s="5">
        <f>IF(Invoices!E95="","",Invoices!E95)</f>
        <v>433000</v>
      </c>
      <c r="F95" s="5" t="str">
        <f t="array" ref="F95">_xlfn.XLOOKUP(B95,Engagement_Master!$A:$A,Engagement_Master!$B:$B,"NOT FOUND")</f>
        <v>Everest Infotech Pvt Ltd</v>
      </c>
      <c r="G95" s="5" t="str">
        <f t="array" ref="G95">_xlfn.XLOOKUP(B95,Engagement_Master!$A:$A,Engagement_Master!$C:$C,"NOT FOUND")</f>
        <v>Audit</v>
      </c>
      <c r="H95" s="5" t="str">
        <f t="array" ref="H95">_xlfn.XLOOKUP(B95,Engagement_Master!$A:$A,Engagement_Master!$D:$D,"NOT FOUND")</f>
        <v>Anil Mehta</v>
      </c>
      <c r="I95" s="5">
        <f>SUMIFS(Collections!$D:$D,Collections!$B:$B,A95)</f>
        <v>0</v>
      </c>
      <c r="J95" s="5">
        <f t="shared" si="1"/>
        <v>433000</v>
      </c>
      <c r="K95" s="5">
        <f>IF(J95="","",IF(J95&lt;=0,0,MAX(0,Control!$B$1-D95)))</f>
        <v>45</v>
      </c>
      <c r="L95" s="5" t="str">
        <f t="shared" si="2"/>
        <v>31-60</v>
      </c>
      <c r="M95" s="5" t="str">
        <f t="shared" si="3"/>
        <v>2026-07</v>
      </c>
    </row>
    <row r="96">
      <c r="A96" s="5" t="str">
        <f>Invoices!A96</f>
        <v>INV-26-0081</v>
      </c>
      <c r="B96" s="5" t="str">
        <f>Invoices!B96</f>
        <v>ENG020</v>
      </c>
      <c r="C96" s="6">
        <f>Invoices!C96</f>
        <v>46221</v>
      </c>
      <c r="D96" s="6">
        <f>Invoices!D96</f>
        <v>46266</v>
      </c>
      <c r="E96" s="5">
        <f>IF(Invoices!E96="","",Invoices!E96)</f>
        <v>555000</v>
      </c>
      <c r="F96" s="5" t="str">
        <f t="array" ref="F96">_xlfn.XLOOKUP(B96,Engagement_Master!$A:$A,Engagement_Master!$B:$B,"NOT FOUND")</f>
        <v>Terra Retail Ltd</v>
      </c>
      <c r="G96" s="5" t="str">
        <f t="array" ref="G96">_xlfn.XLOOKUP(B96,Engagement_Master!$A:$A,Engagement_Master!$C:$C,"NOT FOUND")</f>
        <v>Risk Advisory</v>
      </c>
      <c r="H96" s="5" t="str">
        <f t="array" ref="H96">_xlfn.XLOOKUP(B96,Engagement_Master!$A:$A,Engagement_Master!$D:$D,"NOT FOUND")</f>
        <v>Meera Joshi</v>
      </c>
      <c r="I96" s="5">
        <f>SUMIFS(Collections!$D:$D,Collections!$B:$B,A96)</f>
        <v>555000</v>
      </c>
      <c r="J96" s="5">
        <f t="shared" si="1"/>
        <v>0</v>
      </c>
      <c r="K96" s="5">
        <f>IF(J96="","",IF(J96&lt;=0,0,MAX(0,Control!$B$1-D96)))</f>
        <v>0</v>
      </c>
      <c r="L96" s="5" t="str">
        <f t="shared" si="2"/>
        <v>Paid</v>
      </c>
      <c r="M96" s="5" t="str">
        <f t="shared" si="3"/>
        <v>2026-07</v>
      </c>
    </row>
    <row r="97">
      <c r="A97" s="5" t="str">
        <f>Invoices!A97</f>
        <v>INV-26-0063</v>
      </c>
      <c r="B97" s="5" t="str">
        <f>Invoices!B97</f>
        <v>ENG016</v>
      </c>
      <c r="C97" s="6">
        <f>Invoices!C97</f>
        <v>46222</v>
      </c>
      <c r="D97" s="6">
        <f>Invoices!D97</f>
        <v>46252</v>
      </c>
      <c r="E97" s="5">
        <f>IF(Invoices!E97="","",Invoices!E97)</f>
        <v>979000</v>
      </c>
      <c r="F97" s="5" t="str">
        <f t="array" ref="F97">_xlfn.XLOOKUP(B97,Engagement_Master!$A:$A,Engagement_Master!$B:$B,"NOT FOUND")</f>
        <v>Pinnacle Foods Pvt Ltd</v>
      </c>
      <c r="G97" s="5" t="str">
        <f t="array" ref="G97">_xlfn.XLOOKUP(B97,Engagement_Master!$A:$A,Engagement_Master!$C:$C,"NOT FOUND")</f>
        <v>Risk Advisory</v>
      </c>
      <c r="H97" s="5" t="str">
        <f t="array" ref="H97">_xlfn.XLOOKUP(B97,Engagement_Master!$A:$A,Engagement_Master!$D:$D,"NOT FOUND")</f>
        <v>Sanjay Gupta</v>
      </c>
      <c r="I97" s="5">
        <f>SUMIFS(Collections!$D:$D,Collections!$B:$B,A97)</f>
        <v>979000</v>
      </c>
      <c r="J97" s="5">
        <f t="shared" si="1"/>
        <v>0</v>
      </c>
      <c r="K97" s="5">
        <f>IF(J97="","",IF(J97&lt;=0,0,MAX(0,Control!$B$1-D97)))</f>
        <v>0</v>
      </c>
      <c r="L97" s="5" t="str">
        <f t="shared" si="2"/>
        <v>Paid</v>
      </c>
      <c r="M97" s="5" t="str">
        <f t="shared" si="3"/>
        <v>2026-07</v>
      </c>
    </row>
    <row r="98">
      <c r="A98" s="5" t="str">
        <f>Invoices!A98</f>
        <v>INV-26-0055</v>
      </c>
      <c r="B98" s="5" t="str">
        <f>Invoices!B98</f>
        <v>ENG014</v>
      </c>
      <c r="C98" s="6">
        <f>Invoices!C98</f>
        <v>46222</v>
      </c>
      <c r="D98" s="6">
        <f>Invoices!D98</f>
        <v>46252</v>
      </c>
      <c r="E98" s="5">
        <f>IF(Invoices!E98="","",Invoices!E98)</f>
        <v>750000</v>
      </c>
      <c r="F98" s="5" t="str">
        <f t="array" ref="F98">_xlfn.XLOOKUP(B98,Engagement_Master!$A:$A,Engagement_Master!$B:$B,"NOT FOUND")</f>
        <v>Nimbus Motors Ltd</v>
      </c>
      <c r="G98" s="5" t="str">
        <f t="array" ref="G98">_xlfn.XLOOKUP(B98,Engagement_Master!$A:$A,Engagement_Master!$C:$C,"NOT FOUND")</f>
        <v>Tax</v>
      </c>
      <c r="H98" s="5" t="str">
        <f t="array" ref="H98">_xlfn.XLOOKUP(B98,Engagement_Master!$A:$A,Engagement_Master!$D:$D,"NOT FOUND")</f>
        <v>Neha Kapoor</v>
      </c>
      <c r="I98" s="5">
        <f>SUMIFS(Collections!$D:$D,Collections!$B:$B,A98)</f>
        <v>750000</v>
      </c>
      <c r="J98" s="5">
        <f t="shared" si="1"/>
        <v>0</v>
      </c>
      <c r="K98" s="5">
        <f>IF(J98="","",IF(J98&lt;=0,0,MAX(0,Control!$B$1-D98)))</f>
        <v>0</v>
      </c>
      <c r="L98" s="5" t="str">
        <f t="shared" si="2"/>
        <v>Paid</v>
      </c>
      <c r="M98" s="5" t="str">
        <f t="shared" si="3"/>
        <v>2026-07</v>
      </c>
    </row>
    <row r="99">
      <c r="A99" s="5" t="str">
        <f>Invoices!A99</f>
        <v>INV-26-0109</v>
      </c>
      <c r="B99" s="5" t="str">
        <f>Invoices!B99</f>
        <v>ENG027</v>
      </c>
      <c r="C99" s="6">
        <f>Invoices!C99</f>
        <v>46223</v>
      </c>
      <c r="D99" s="6">
        <f>Invoices!D99</f>
        <v>46253</v>
      </c>
      <c r="E99" s="5">
        <f>IF(Invoices!E99="","",Invoices!E99)</f>
        <v>516000</v>
      </c>
      <c r="F99" s="5" t="str">
        <f t="array" ref="F99">_xlfn.XLOOKUP(B99,Engagement_Master!$A:$A,Engagement_Master!$B:$B,"NOT FOUND")</f>
        <v>Cobalt Finance Ltd</v>
      </c>
      <c r="G99" s="5" t="str">
        <f t="array" ref="G99">_xlfn.XLOOKUP(B99,Engagement_Master!$A:$A,Engagement_Master!$C:$C,"NOT FOUND")</f>
        <v>Consulting</v>
      </c>
      <c r="H99" s="5" t="str">
        <f t="array" ref="H99">_xlfn.XLOOKUP(B99,Engagement_Master!$A:$A,Engagement_Master!$D:$D,"NOT FOUND")</f>
        <v>Priya Nair</v>
      </c>
      <c r="I99" s="5">
        <f>SUMIFS(Collections!$D:$D,Collections!$B:$B,A99)</f>
        <v>516000</v>
      </c>
      <c r="J99" s="5">
        <f t="shared" si="1"/>
        <v>0</v>
      </c>
      <c r="K99" s="5">
        <f>IF(J99="","",IF(J99&lt;=0,0,MAX(0,Control!$B$1-D99)))</f>
        <v>0</v>
      </c>
      <c r="L99" s="5" t="str">
        <f t="shared" si="2"/>
        <v>Paid</v>
      </c>
      <c r="M99" s="5" t="str">
        <f t="shared" si="3"/>
        <v>2026-07</v>
      </c>
    </row>
    <row r="100">
      <c r="A100" s="5" t="str">
        <f>Invoices!A100</f>
        <v>INV-26-0121</v>
      </c>
      <c r="B100" s="5" t="str">
        <f>Invoices!B100</f>
        <v>ENG030</v>
      </c>
      <c r="C100" s="6">
        <f>Invoices!C100</f>
        <v>46223</v>
      </c>
      <c r="D100" s="6">
        <f>Invoices!D100</f>
        <v>46253</v>
      </c>
      <c r="E100" s="5" t="str">
        <f>IF(Invoices!E100="","",Invoices!E100)</f>
        <v/>
      </c>
      <c r="F100" s="5" t="str">
        <f t="array" ref="F100">_xlfn.XLOOKUP(B100,Engagement_Master!$A:$A,Engagement_Master!$B:$B,"NOT FOUND")</f>
        <v>Falcon Motors Ltd</v>
      </c>
      <c r="G100" s="5" t="str">
        <f t="array" ref="G100">_xlfn.XLOOKUP(B100,Engagement_Master!$A:$A,Engagement_Master!$C:$C,"NOT FOUND")</f>
        <v>Tax</v>
      </c>
      <c r="H100" s="5" t="str">
        <f t="array" ref="H100">_xlfn.XLOOKUP(B100,Engagement_Master!$A:$A,Engagement_Master!$D:$D,"NOT FOUND")</f>
        <v>Neha Kapoor</v>
      </c>
      <c r="I100" s="5">
        <f>SUMIFS(Collections!$D:$D,Collections!$B:$B,A100)</f>
        <v>1140000</v>
      </c>
      <c r="J100" s="5" t="str">
        <f t="shared" si="1"/>
        <v/>
      </c>
      <c r="K100" s="5" t="str">
        <f>IF(J100="","",IF(J100&lt;=0,0,MAX(0,Control!$B$1-D100)))</f>
        <v/>
      </c>
      <c r="L100" s="5" t="str">
        <f t="shared" si="2"/>
        <v/>
      </c>
      <c r="M100" s="5" t="str">
        <f t="shared" si="3"/>
        <v>2026-07</v>
      </c>
    </row>
    <row r="101">
      <c r="A101" s="5" t="str">
        <f>Invoices!A101</f>
        <v>INV-26-0003</v>
      </c>
      <c r="B101" s="5" t="str">
        <f>Invoices!B101</f>
        <v>ENG001</v>
      </c>
      <c r="C101" s="6">
        <f>Invoices!C101</f>
        <v>46223</v>
      </c>
      <c r="D101" s="6">
        <f>Invoices!D101</f>
        <v>46253</v>
      </c>
      <c r="E101" s="5">
        <f>IF(Invoices!E101="","",Invoices!E101)</f>
        <v>360000</v>
      </c>
      <c r="F101" s="5" t="str">
        <f t="array" ref="F101">_xlfn.XLOOKUP(B101,Engagement_Master!$A:$A,Engagement_Master!$B:$B,"NOT FOUND")</f>
        <v>Arcadia Industries Ltd</v>
      </c>
      <c r="G101" s="5" t="str">
        <f t="array" ref="G101">_xlfn.XLOOKUP(B101,Engagement_Master!$A:$A,Engagement_Master!$C:$C,"NOT FOUND")</f>
        <v>Audit</v>
      </c>
      <c r="H101" s="5" t="str">
        <f t="array" ref="H101">_xlfn.XLOOKUP(B101,Engagement_Master!$A:$A,Engagement_Master!$D:$D,"NOT FOUND")</f>
        <v>Anil Mehta</v>
      </c>
      <c r="I101" s="5">
        <f>SUMIFS(Collections!$D:$D,Collections!$B:$B,A101)</f>
        <v>360000</v>
      </c>
      <c r="J101" s="5">
        <f t="shared" si="1"/>
        <v>0</v>
      </c>
      <c r="K101" s="5">
        <f>IF(J101="","",IF(J101&lt;=0,0,MAX(0,Control!$B$1-D101)))</f>
        <v>0</v>
      </c>
      <c r="L101" s="5" t="str">
        <f t="shared" si="2"/>
        <v>Paid</v>
      </c>
      <c r="M101" s="5" t="str">
        <f t="shared" si="3"/>
        <v>2026-07</v>
      </c>
    </row>
    <row r="102">
      <c r="A102" s="5" t="str">
        <f>Invoices!A102</f>
        <v>INV-26-0092</v>
      </c>
      <c r="B102" s="5" t="str">
        <f>Invoices!B102</f>
        <v>ENG023</v>
      </c>
      <c r="C102" s="6">
        <f>Invoices!C102</f>
        <v>46223</v>
      </c>
      <c r="D102" s="6">
        <f>Invoices!D102</f>
        <v>46283</v>
      </c>
      <c r="E102" s="5">
        <f>IF(Invoices!E102="","",Invoices!E102)</f>
        <v>236000</v>
      </c>
      <c r="F102" s="5" t="str">
        <f t="array" ref="F102">_xlfn.XLOOKUP(B102,Engagement_Master!$A:$A,Engagement_Master!$B:$B,"NOT FOUND")</f>
        <v>Westbrook Energy Ltd</v>
      </c>
      <c r="G102" s="5" t="str">
        <f t="array" ref="G102">_xlfn.XLOOKUP(B102,Engagement_Master!$A:$A,Engagement_Master!$C:$C,"NOT FOUND")</f>
        <v>Consulting</v>
      </c>
      <c r="H102" s="5" t="str">
        <f t="array" ref="H102">_xlfn.XLOOKUP(B102,Engagement_Master!$A:$A,Engagement_Master!$D:$D,"NOT FOUND")</f>
        <v>Priya Nair</v>
      </c>
      <c r="I102" s="5">
        <f>SUMIFS(Collections!$D:$D,Collections!$B:$B,A102)</f>
        <v>0</v>
      </c>
      <c r="J102" s="5">
        <f t="shared" si="1"/>
        <v>236000</v>
      </c>
      <c r="K102" s="5">
        <f>IF(J102="","",IF(J102&lt;=0,0,MAX(0,Control!$B$1-D102)))</f>
        <v>12</v>
      </c>
      <c r="L102" s="5" t="str">
        <f t="shared" si="2"/>
        <v>0-30</v>
      </c>
      <c r="M102" s="5" t="str">
        <f t="shared" si="3"/>
        <v>2026-07</v>
      </c>
    </row>
    <row r="103">
      <c r="A103" s="5" t="str">
        <f>Invoices!A103</f>
        <v>INV-26-0138</v>
      </c>
      <c r="B103" s="5" t="str">
        <f>Invoices!B103</f>
        <v>ENG034</v>
      </c>
      <c r="C103" s="6">
        <f>Invoices!C103</f>
        <v>46225</v>
      </c>
      <c r="D103" s="6">
        <f>Invoices!D103</f>
        <v>46255</v>
      </c>
      <c r="E103" s="5">
        <f>IF(Invoices!E103="","",Invoices!E103)</f>
        <v>1081000</v>
      </c>
      <c r="F103" s="5" t="str">
        <f t="array" ref="F103">_xlfn.XLOOKUP(B103,Engagement_Master!$A:$A,Engagement_Master!$B:$B,"NOT FOUND")</f>
        <v>Juniper Pharma Pvt Ltd</v>
      </c>
      <c r="G103" s="5" t="str">
        <f t="array" ref="G103">_xlfn.XLOOKUP(B103,Engagement_Master!$A:$A,Engagement_Master!$C:$C,"NOT FOUND")</f>
        <v>Tax</v>
      </c>
      <c r="H103" s="5" t="str">
        <f t="array" ref="H103">_xlfn.XLOOKUP(B103,Engagement_Master!$A:$A,Engagement_Master!$D:$D,"NOT FOUND")</f>
        <v>Neha Kapoor</v>
      </c>
      <c r="I103" s="5">
        <f>SUMIFS(Collections!$D:$D,Collections!$B:$B,A103)</f>
        <v>1081000</v>
      </c>
      <c r="J103" s="5">
        <f t="shared" si="1"/>
        <v>0</v>
      </c>
      <c r="K103" s="5">
        <f>IF(J103="","",IF(J103&lt;=0,0,MAX(0,Control!$B$1-D103)))</f>
        <v>0</v>
      </c>
      <c r="L103" s="5" t="str">
        <f t="shared" si="2"/>
        <v>Paid</v>
      </c>
      <c r="M103" s="5" t="str">
        <f t="shared" si="3"/>
        <v>2026-07</v>
      </c>
    </row>
    <row r="104">
      <c r="A104" s="5" t="str">
        <f>Invoices!A104</f>
        <v>INV-26-0096</v>
      </c>
      <c r="B104" s="5" t="str">
        <f>Invoices!B104</f>
        <v>ENG024</v>
      </c>
      <c r="C104" s="6">
        <f>Invoices!C104</f>
        <v>46226</v>
      </c>
      <c r="D104" s="6">
        <f>Invoices!D104</f>
        <v>46256</v>
      </c>
      <c r="E104" s="5">
        <f>IF(Invoices!E104="","",Invoices!E104)</f>
        <v>616000</v>
      </c>
      <c r="F104" s="5" t="str">
        <f t="array" ref="F104">_xlfn.XLOOKUP(B104,Engagement_Master!$A:$A,Engagement_Master!$B:$B,"NOT FOUND")</f>
        <v>Zenith Foods Pvt Ltd</v>
      </c>
      <c r="G104" s="5" t="str">
        <f t="array" ref="G104">_xlfn.XLOOKUP(B104,Engagement_Master!$A:$A,Engagement_Master!$C:$C,"NOT FOUND")</f>
        <v>Risk Advisory</v>
      </c>
      <c r="H104" s="5" t="str">
        <f t="array" ref="H104">_xlfn.XLOOKUP(B104,Engagement_Master!$A:$A,Engagement_Master!$D:$D,"NOT FOUND")</f>
        <v>Meera Joshi</v>
      </c>
      <c r="I104" s="5">
        <f>SUMIFS(Collections!$D:$D,Collections!$B:$B,A104)</f>
        <v>291000</v>
      </c>
      <c r="J104" s="5">
        <f t="shared" si="1"/>
        <v>325000</v>
      </c>
      <c r="K104" s="5">
        <f>IF(J104="","",IF(J104&lt;=0,0,MAX(0,Control!$B$1-D104)))</f>
        <v>39</v>
      </c>
      <c r="L104" s="5" t="str">
        <f t="shared" si="2"/>
        <v>31-60</v>
      </c>
      <c r="M104" s="5" t="str">
        <f t="shared" si="3"/>
        <v>2026-07</v>
      </c>
    </row>
    <row r="105">
      <c r="A105" s="5" t="str">
        <f>Invoices!A105</f>
        <v>INV-26-0048</v>
      </c>
      <c r="B105" s="5" t="str">
        <f>Invoices!B105</f>
        <v>ENG012</v>
      </c>
      <c r="C105" s="6">
        <f>Invoices!C105</f>
        <v>46226</v>
      </c>
      <c r="D105" s="6">
        <f>Invoices!D105</f>
        <v>46256</v>
      </c>
      <c r="E105" s="5">
        <f>IF(Invoices!E105="","",Invoices!E105)</f>
        <v>481000</v>
      </c>
      <c r="F105" s="5" t="str">
        <f t="array" ref="F105">_xlfn.XLOOKUP(B105,Engagement_Master!$A:$A,Engagement_Master!$B:$B,"NOT FOUND")</f>
        <v>Lotus Retail Ltd</v>
      </c>
      <c r="G105" s="5" t="str">
        <f t="array" ref="G105">_xlfn.XLOOKUP(B105,Engagement_Master!$A:$A,Engagement_Master!$C:$C,"NOT FOUND")</f>
        <v>Risk Advisory</v>
      </c>
      <c r="H105" s="5" t="str">
        <f t="array" ref="H105">_xlfn.XLOOKUP(B105,Engagement_Master!$A:$A,Engagement_Master!$D:$D,"NOT FOUND")</f>
        <v>Meera Joshi</v>
      </c>
      <c r="I105" s="5">
        <f>SUMIFS(Collections!$D:$D,Collections!$B:$B,A105)</f>
        <v>481000</v>
      </c>
      <c r="J105" s="5">
        <f t="shared" si="1"/>
        <v>0</v>
      </c>
      <c r="K105" s="5">
        <f>IF(J105="","",IF(J105&lt;=0,0,MAX(0,Control!$B$1-D105)))</f>
        <v>0</v>
      </c>
      <c r="L105" s="5" t="str">
        <f t="shared" si="2"/>
        <v>Paid</v>
      </c>
      <c r="M105" s="5" t="str">
        <f t="shared" si="3"/>
        <v>2026-07</v>
      </c>
    </row>
    <row r="106">
      <c r="A106" s="5" t="str">
        <f>Invoices!A106</f>
        <v>INV-26-0128</v>
      </c>
      <c r="B106" s="5" t="str">
        <f>Invoices!B106</f>
        <v>ENG032</v>
      </c>
      <c r="C106" s="6">
        <f>Invoices!C106</f>
        <v>46226</v>
      </c>
      <c r="D106" s="6">
        <f>Invoices!D106</f>
        <v>46256</v>
      </c>
      <c r="E106" s="5">
        <f>IF(Invoices!E106="","",Invoices!E106)</f>
        <v>628000</v>
      </c>
      <c r="F106" s="5" t="str">
        <f t="array" ref="F106">_xlfn.XLOOKUP(B106,Engagement_Master!$A:$A,Engagement_Master!$B:$B,"NOT FOUND")</f>
        <v>Harbor Foods Pvt Ltd</v>
      </c>
      <c r="G106" s="5" t="str">
        <f t="array" ref="G106">_xlfn.XLOOKUP(B106,Engagement_Master!$A:$A,Engagement_Master!$C:$C,"NOT FOUND")</f>
        <v>Risk Advisory</v>
      </c>
      <c r="H106" s="5" t="str">
        <f t="array" ref="H106">_xlfn.XLOOKUP(B106,Engagement_Master!$A:$A,Engagement_Master!$D:$D,"NOT FOUND")</f>
        <v>Meera Joshi</v>
      </c>
      <c r="I106" s="5">
        <f>SUMIFS(Collections!$D:$D,Collections!$B:$B,A106)</f>
        <v>628000</v>
      </c>
      <c r="J106" s="5">
        <f t="shared" si="1"/>
        <v>0</v>
      </c>
      <c r="K106" s="5">
        <f>IF(J106="","",IF(J106&lt;=0,0,MAX(0,Control!$B$1-D106)))</f>
        <v>0</v>
      </c>
      <c r="L106" s="5" t="str">
        <f t="shared" si="2"/>
        <v>Paid</v>
      </c>
      <c r="M106" s="5" t="str">
        <f t="shared" si="3"/>
        <v>2026-07</v>
      </c>
    </row>
    <row r="107">
      <c r="A107" s="5" t="str">
        <f>Invoices!A107</f>
        <v>INV-26-0159</v>
      </c>
      <c r="B107" s="5" t="str">
        <f>Invoices!B107</f>
        <v>ENG039</v>
      </c>
      <c r="C107" s="6">
        <f>Invoices!C107</f>
        <v>46227</v>
      </c>
      <c r="D107" s="6">
        <f>Invoices!D107</f>
        <v>46287</v>
      </c>
      <c r="E107" s="5">
        <f>IF(Invoices!E107="","",Invoices!E107)</f>
        <v>723000</v>
      </c>
      <c r="F107" s="5" t="str">
        <f t="array" ref="F107">_xlfn.XLOOKUP(B107,Engagement_Master!$A:$A,Engagement_Master!$B:$B,"NOT FOUND")</f>
        <v>Opal Energy Ltd</v>
      </c>
      <c r="G107" s="5" t="str">
        <f t="array" ref="G107">_xlfn.XLOOKUP(B107,Engagement_Master!$A:$A,Engagement_Master!$C:$C,"NOT FOUND")</f>
        <v>Consulting</v>
      </c>
      <c r="H107" s="5" t="str">
        <f t="array" ref="H107">_xlfn.XLOOKUP(B107,Engagement_Master!$A:$A,Engagement_Master!$D:$D,"NOT FOUND")</f>
        <v>Vikram Iyer</v>
      </c>
      <c r="I107" s="5">
        <f>SUMIFS(Collections!$D:$D,Collections!$B:$B,A107)</f>
        <v>0</v>
      </c>
      <c r="J107" s="5">
        <f t="shared" si="1"/>
        <v>723000</v>
      </c>
      <c r="K107" s="5">
        <f>IF(J107="","",IF(J107&lt;=0,0,MAX(0,Control!$B$1-D107)))</f>
        <v>8</v>
      </c>
      <c r="L107" s="5" t="str">
        <f t="shared" si="2"/>
        <v>0-30</v>
      </c>
      <c r="M107" s="5" t="str">
        <f t="shared" si="3"/>
        <v>2026-07</v>
      </c>
    </row>
    <row r="108">
      <c r="A108" s="5" t="str">
        <f>Invoices!A108</f>
        <v>INV-26-0150</v>
      </c>
      <c r="B108" s="5" t="str">
        <f>Invoices!B108</f>
        <v>ENG037</v>
      </c>
      <c r="C108" s="6">
        <f>Invoices!C108</f>
        <v>46227</v>
      </c>
      <c r="D108" s="6">
        <f>Invoices!D108</f>
        <v>46272</v>
      </c>
      <c r="E108" s="5">
        <f>IF(Invoices!E108="","",Invoices!E108)</f>
        <v>669000</v>
      </c>
      <c r="F108" s="5" t="str">
        <f t="array" ref="F108">_xlfn.XLOOKUP(B108,Engagement_Master!$A:$A,Engagement_Master!$B:$B,"NOT FOUND")</f>
        <v>Monsoon Infotech Pvt Ltd</v>
      </c>
      <c r="G108" s="5" t="str">
        <f t="array" ref="G108">_xlfn.XLOOKUP(B108,Engagement_Master!$A:$A,Engagement_Master!$C:$C,"NOT FOUND")</f>
        <v>Audit</v>
      </c>
      <c r="H108" s="5" t="str">
        <f t="array" ref="H108">_xlfn.XLOOKUP(B108,Engagement_Master!$A:$A,Engagement_Master!$D:$D,"NOT FOUND")</f>
        <v>Kavita Rao</v>
      </c>
      <c r="I108" s="5">
        <f>SUMIFS(Collections!$D:$D,Collections!$B:$B,A108)</f>
        <v>669000</v>
      </c>
      <c r="J108" s="5">
        <f t="shared" si="1"/>
        <v>0</v>
      </c>
      <c r="K108" s="5">
        <f>IF(J108="","",IF(J108&lt;=0,0,MAX(0,Control!$B$1-D108)))</f>
        <v>0</v>
      </c>
      <c r="L108" s="5" t="str">
        <f t="shared" si="2"/>
        <v>Paid</v>
      </c>
      <c r="M108" s="5" t="str">
        <f t="shared" si="3"/>
        <v>2026-07</v>
      </c>
    </row>
    <row r="109">
      <c r="A109" s="5" t="str">
        <f>Invoices!A109</f>
        <v>INV-26-0031</v>
      </c>
      <c r="B109" s="5" t="str">
        <f>Invoices!B109</f>
        <v>ENG008</v>
      </c>
      <c r="C109" s="6">
        <f>Invoices!C109</f>
        <v>46227</v>
      </c>
      <c r="D109" s="6">
        <f>Invoices!D109</f>
        <v>46272</v>
      </c>
      <c r="E109" s="5">
        <f>IF(Invoices!E109="","",Invoices!E109)</f>
        <v>890000</v>
      </c>
      <c r="F109" s="5" t="str">
        <f t="array" ref="F109">_xlfn.XLOOKUP(B109,Engagement_Master!$A:$A,Engagement_Master!$B:$B,"NOT FOUND")</f>
        <v>Horizon Foods Pvt Ltd</v>
      </c>
      <c r="G109" s="5" t="str">
        <f t="array" ref="G109">_xlfn.XLOOKUP(B109,Engagement_Master!$A:$A,Engagement_Master!$C:$C,"NOT FOUND")</f>
        <v>Risk Advisory</v>
      </c>
      <c r="H109" s="5" t="str">
        <f t="array" ref="H109">_xlfn.XLOOKUP(B109,Engagement_Master!$A:$A,Engagement_Master!$D:$D,"NOT FOUND")</f>
        <v>Sanjay Gupta</v>
      </c>
      <c r="I109" s="5">
        <f>SUMIFS(Collections!$D:$D,Collections!$B:$B,A109)</f>
        <v>890000</v>
      </c>
      <c r="J109" s="5">
        <f t="shared" si="1"/>
        <v>0</v>
      </c>
      <c r="K109" s="5">
        <f>IF(J109="","",IF(J109&lt;=0,0,MAX(0,Control!$B$1-D109)))</f>
        <v>0</v>
      </c>
      <c r="L109" s="5" t="str">
        <f t="shared" si="2"/>
        <v>Paid</v>
      </c>
      <c r="M109" s="5" t="str">
        <f t="shared" si="3"/>
        <v>2026-07</v>
      </c>
    </row>
    <row r="110">
      <c r="A110" s="5" t="str">
        <f>Invoices!A110</f>
        <v>INV-26-0147</v>
      </c>
      <c r="B110" s="5" t="str">
        <f>Invoices!B110</f>
        <v>ENG036</v>
      </c>
      <c r="C110" s="6">
        <f>Invoices!C110</f>
        <v>46229</v>
      </c>
      <c r="D110" s="6">
        <f>Invoices!D110</f>
        <v>46274</v>
      </c>
      <c r="E110" s="5">
        <f>IF(Invoices!E110="","",Invoices!E110)</f>
        <v>1501000</v>
      </c>
      <c r="F110" s="5" t="str">
        <f t="array" ref="F110">_xlfn.XLOOKUP(B110,Engagement_Master!$A:$A,Engagement_Master!$B:$B,"NOT FOUND")</f>
        <v>Lumen Retail Ltd</v>
      </c>
      <c r="G110" s="5" t="str">
        <f t="array" ref="G110">_xlfn.XLOOKUP(B110,Engagement_Master!$A:$A,Engagement_Master!$C:$C,"NOT FOUND")</f>
        <v>Risk Advisory</v>
      </c>
      <c r="H110" s="5" t="str">
        <f t="array" ref="H110">_xlfn.XLOOKUP(B110,Engagement_Master!$A:$A,Engagement_Master!$D:$D,"NOT FOUND")</f>
        <v>Sanjay Gupta</v>
      </c>
      <c r="I110" s="5">
        <f>SUMIFS(Collections!$D:$D,Collections!$B:$B,A110)</f>
        <v>1501000</v>
      </c>
      <c r="J110" s="5">
        <f t="shared" si="1"/>
        <v>0</v>
      </c>
      <c r="K110" s="5">
        <f>IF(J110="","",IF(J110&lt;=0,0,MAX(0,Control!$B$1-D110)))</f>
        <v>0</v>
      </c>
      <c r="L110" s="5" t="str">
        <f t="shared" si="2"/>
        <v>Paid</v>
      </c>
      <c r="M110" s="5" t="str">
        <f t="shared" si="3"/>
        <v>2026-07</v>
      </c>
    </row>
    <row r="111">
      <c r="A111" s="5" t="str">
        <f>Invoices!A111</f>
        <v>INV-26-0036</v>
      </c>
      <c r="B111" s="5" t="str">
        <f>Invoices!B111</f>
        <v>ENG009</v>
      </c>
      <c r="C111" s="6">
        <f>Invoices!C111</f>
        <v>46229</v>
      </c>
      <c r="D111" s="6">
        <f>Invoices!D111</f>
        <v>46289</v>
      </c>
      <c r="E111" s="5">
        <f>IF(Invoices!E111="","",Invoices!E111)</f>
        <v>655000</v>
      </c>
      <c r="F111" s="5" t="str">
        <f t="array" ref="F111">_xlfn.XLOOKUP(B111,Engagement_Master!$A:$A,Engagement_Master!$B:$B,"NOT FOUND")</f>
        <v>Indus Industries Ltd</v>
      </c>
      <c r="G111" s="5" t="str">
        <f t="array" ref="G111">_xlfn.XLOOKUP(B111,Engagement_Master!$A:$A,Engagement_Master!$C:$C,"NOT FOUND")</f>
        <v>Audit</v>
      </c>
      <c r="H111" s="5" t="str">
        <f t="array" ref="H111">_xlfn.XLOOKUP(B111,Engagement_Master!$A:$A,Engagement_Master!$D:$D,"NOT FOUND")</f>
        <v>Kavita Rao</v>
      </c>
      <c r="I111" s="5">
        <f>SUMIFS(Collections!$D:$D,Collections!$B:$B,A111)</f>
        <v>0</v>
      </c>
      <c r="J111" s="5">
        <f t="shared" si="1"/>
        <v>655000</v>
      </c>
      <c r="K111" s="5">
        <f>IF(J111="","",IF(J111&lt;=0,0,MAX(0,Control!$B$1-D111)))</f>
        <v>6</v>
      </c>
      <c r="L111" s="5" t="str">
        <f t="shared" si="2"/>
        <v>0-30</v>
      </c>
      <c r="M111" s="5" t="str">
        <f t="shared" si="3"/>
        <v>2026-07</v>
      </c>
    </row>
    <row r="112">
      <c r="A112" s="8" t="str">
        <f>Invoices!A112</f>
        <v>INV-26-0076</v>
      </c>
      <c r="B112" s="8" t="str">
        <f>Invoices!B112</f>
        <v>ENG019</v>
      </c>
      <c r="C112" s="9">
        <f>Invoices!C112</f>
        <v>46229</v>
      </c>
      <c r="D112" s="9">
        <f>Invoices!D112</f>
        <v>46199</v>
      </c>
      <c r="E112" s="8">
        <f>IF(Invoices!E112="","",Invoices!E112)</f>
        <v>948000</v>
      </c>
      <c r="F112" s="8" t="str">
        <f t="array" ref="F112">_xlfn.XLOOKUP(B112,Engagement_Master!$A:$A,Engagement_Master!$B:$B,"NOT FOUND")</f>
        <v>Saffron Finance Ltd</v>
      </c>
      <c r="G112" s="8" t="str">
        <f t="array" ref="G112">_xlfn.XLOOKUP(B112,Engagement_Master!$A:$A,Engagement_Master!$C:$C,"NOT FOUND")</f>
        <v>Consulting</v>
      </c>
      <c r="H112" s="8" t="str">
        <f t="array" ref="H112">_xlfn.XLOOKUP(B112,Engagement_Master!$A:$A,Engagement_Master!$D:$D,"NOT FOUND")</f>
        <v>Priya Nair</v>
      </c>
      <c r="I112" s="8">
        <f>SUMIFS(Collections!$D:$D,Collections!$B:$B,A112)</f>
        <v>0</v>
      </c>
      <c r="J112" s="8">
        <f t="shared" si="1"/>
        <v>948000</v>
      </c>
      <c r="K112" s="8">
        <f>IF(J112="","",IF(J112&lt;=0,0,MAX(0,Control!$B$1-D112)))</f>
        <v>96</v>
      </c>
      <c r="L112" s="8" t="str">
        <f t="shared" si="2"/>
        <v>90+</v>
      </c>
      <c r="M112" s="5" t="str">
        <f t="shared" si="3"/>
        <v>2026-07</v>
      </c>
    </row>
    <row r="113">
      <c r="A113" s="5" t="str">
        <f>Invoices!A113</f>
        <v>INV-26-0019</v>
      </c>
      <c r="B113" s="5" t="str">
        <f>Invoices!B113</f>
        <v>ENG005</v>
      </c>
      <c r="C113" s="6">
        <f>Invoices!C113</f>
        <v>46238</v>
      </c>
      <c r="D113" s="6">
        <f>Invoices!D113</f>
        <v>46268</v>
      </c>
      <c r="E113" s="5">
        <f>IF(Invoices!E113="","",Invoices!E113)</f>
        <v>373000</v>
      </c>
      <c r="F113" s="5" t="str">
        <f t="array" ref="F113">_xlfn.XLOOKUP(B113,Engagement_Master!$A:$A,Engagement_Master!$B:$B,"NOT FOUND")</f>
        <v>Everest Infotech Pvt Ltd</v>
      </c>
      <c r="G113" s="5" t="str">
        <f t="array" ref="G113">_xlfn.XLOOKUP(B113,Engagement_Master!$A:$A,Engagement_Master!$C:$C,"NOT FOUND")</f>
        <v>Audit</v>
      </c>
      <c r="H113" s="5" t="str">
        <f t="array" ref="H113">_xlfn.XLOOKUP(B113,Engagement_Master!$A:$A,Engagement_Master!$D:$D,"NOT FOUND")</f>
        <v>Anil Mehta</v>
      </c>
      <c r="I113" s="5">
        <f>SUMIFS(Collections!$D:$D,Collections!$B:$B,A113)</f>
        <v>0</v>
      </c>
      <c r="J113" s="5">
        <f t="shared" si="1"/>
        <v>373000</v>
      </c>
      <c r="K113" s="5">
        <f>IF(J113="","",IF(J113&lt;=0,0,MAX(0,Control!$B$1-D113)))</f>
        <v>27</v>
      </c>
      <c r="L113" s="5" t="str">
        <f t="shared" si="2"/>
        <v>0-30</v>
      </c>
      <c r="M113" s="5" t="str">
        <f t="shared" si="3"/>
        <v>2026-08</v>
      </c>
    </row>
    <row r="114">
      <c r="A114" s="5" t="str">
        <f>Invoices!A114</f>
        <v>INV-26-0069</v>
      </c>
      <c r="B114" s="5" t="str">
        <f>Invoices!B114</f>
        <v>ENG017</v>
      </c>
      <c r="C114" s="6">
        <f>Invoices!C114</f>
        <v>46238</v>
      </c>
      <c r="D114" s="6">
        <f>Invoices!D114</f>
        <v>46283</v>
      </c>
      <c r="E114" s="5">
        <f>IF(Invoices!E114="","",Invoices!E114)</f>
        <v>371000</v>
      </c>
      <c r="F114" s="5" t="str">
        <f t="array" ref="F114">_xlfn.XLOOKUP(B114,Engagement_Master!$A:$A,Engagement_Master!$B:$B,"NOT FOUND")</f>
        <v>Quantum Industries Ltd</v>
      </c>
      <c r="G114" s="5" t="str">
        <f t="array" ref="G114">_xlfn.XLOOKUP(B114,Engagement_Master!$A:$A,Engagement_Master!$C:$C,"NOT FOUND")</f>
        <v>Audit</v>
      </c>
      <c r="H114" s="5" t="str">
        <f t="array" ref="H114">_xlfn.XLOOKUP(B114,Engagement_Master!$A:$A,Engagement_Master!$D:$D,"NOT FOUND")</f>
        <v>Anil Mehta</v>
      </c>
      <c r="I114" s="5">
        <f>SUMIFS(Collections!$D:$D,Collections!$B:$B,A114)</f>
        <v>371000</v>
      </c>
      <c r="J114" s="5">
        <f t="shared" si="1"/>
        <v>0</v>
      </c>
      <c r="K114" s="5">
        <f>IF(J114="","",IF(J114&lt;=0,0,MAX(0,Control!$B$1-D114)))</f>
        <v>0</v>
      </c>
      <c r="L114" s="5" t="str">
        <f t="shared" si="2"/>
        <v>Paid</v>
      </c>
      <c r="M114" s="5" t="str">
        <f t="shared" si="3"/>
        <v>2026-08</v>
      </c>
    </row>
    <row r="115">
      <c r="A115" s="5" t="str">
        <f>Invoices!A115</f>
        <v>INV-26-0143</v>
      </c>
      <c r="B115" s="5" t="str">
        <f>Invoices!B115</f>
        <v>ENG035</v>
      </c>
      <c r="C115" s="6">
        <f>Invoices!C115</f>
        <v>46238</v>
      </c>
      <c r="D115" s="6">
        <f>Invoices!D115</f>
        <v>46298</v>
      </c>
      <c r="E115" s="5">
        <f>IF(Invoices!E115="","",Invoices!E115)</f>
        <v>231000</v>
      </c>
      <c r="F115" s="5" t="str">
        <f t="array" ref="F115">_xlfn.XLOOKUP(B115,Engagement_Master!$A:$A,Engagement_Master!$B:$B,"NOT FOUND")</f>
        <v>Krypton Finance Ltd</v>
      </c>
      <c r="G115" s="5" t="str">
        <f t="array" ref="G115">_xlfn.XLOOKUP(B115,Engagement_Master!$A:$A,Engagement_Master!$C:$C,"NOT FOUND")</f>
        <v>Consulting</v>
      </c>
      <c r="H115" s="5" t="str">
        <f t="array" ref="H115">_xlfn.XLOOKUP(B115,Engagement_Master!$A:$A,Engagement_Master!$D:$D,"NOT FOUND")</f>
        <v>Priya Nair</v>
      </c>
      <c r="I115" s="5">
        <f>SUMIFS(Collections!$D:$D,Collections!$B:$B,A115)</f>
        <v>0</v>
      </c>
      <c r="J115" s="5">
        <f t="shared" si="1"/>
        <v>231000</v>
      </c>
      <c r="K115" s="5">
        <f>IF(J115="","",IF(J115&lt;=0,0,MAX(0,Control!$B$1-D115)))</f>
        <v>0</v>
      </c>
      <c r="L115" s="5" t="str">
        <f t="shared" si="2"/>
        <v>Not Due</v>
      </c>
      <c r="M115" s="5" t="str">
        <f t="shared" si="3"/>
        <v>2026-08</v>
      </c>
    </row>
    <row r="116">
      <c r="A116" s="5" t="str">
        <f>Invoices!A116</f>
        <v>INV-26-0037</v>
      </c>
      <c r="B116" s="5" t="str">
        <f>Invoices!B116</f>
        <v>ENG009</v>
      </c>
      <c r="C116" s="6">
        <f>Invoices!C116</f>
        <v>46240</v>
      </c>
      <c r="D116" s="6">
        <f>Invoices!D116</f>
        <v>46300</v>
      </c>
      <c r="E116" s="5">
        <f>IF(Invoices!E116="","",Invoices!E116)</f>
        <v>1086000</v>
      </c>
      <c r="F116" s="5" t="str">
        <f t="array" ref="F116">_xlfn.XLOOKUP(B116,Engagement_Master!$A:$A,Engagement_Master!$B:$B,"NOT FOUND")</f>
        <v>Indus Industries Ltd</v>
      </c>
      <c r="G116" s="5" t="str">
        <f t="array" ref="G116">_xlfn.XLOOKUP(B116,Engagement_Master!$A:$A,Engagement_Master!$C:$C,"NOT FOUND")</f>
        <v>Audit</v>
      </c>
      <c r="H116" s="5" t="str">
        <f t="array" ref="H116">_xlfn.XLOOKUP(B116,Engagement_Master!$A:$A,Engagement_Master!$D:$D,"NOT FOUND")</f>
        <v>Kavita Rao</v>
      </c>
      <c r="I116" s="5">
        <f>SUMIFS(Collections!$D:$D,Collections!$B:$B,A116)</f>
        <v>0</v>
      </c>
      <c r="J116" s="5">
        <f t="shared" si="1"/>
        <v>1086000</v>
      </c>
      <c r="K116" s="5">
        <f>IF(J116="","",IF(J116&lt;=0,0,MAX(0,Control!$B$1-D116)))</f>
        <v>0</v>
      </c>
      <c r="L116" s="5" t="str">
        <f t="shared" si="2"/>
        <v>Not Due</v>
      </c>
      <c r="M116" s="5" t="str">
        <f t="shared" si="3"/>
        <v>2026-08</v>
      </c>
    </row>
    <row r="117">
      <c r="A117" s="5" t="str">
        <f>Invoices!A117</f>
        <v>INV-26-0129</v>
      </c>
      <c r="B117" s="5" t="str">
        <f>Invoices!B117</f>
        <v>ENG032</v>
      </c>
      <c r="C117" s="6">
        <f>Invoices!C117</f>
        <v>46240</v>
      </c>
      <c r="D117" s="6">
        <f>Invoices!D117</f>
        <v>46270</v>
      </c>
      <c r="E117" s="5">
        <f>IF(Invoices!E117="","",Invoices!E117)</f>
        <v>633000</v>
      </c>
      <c r="F117" s="5" t="str">
        <f t="array" ref="F117">_xlfn.XLOOKUP(B117,Engagement_Master!$A:$A,Engagement_Master!$B:$B,"NOT FOUND")</f>
        <v>Harbor Foods Pvt Ltd</v>
      </c>
      <c r="G117" s="5" t="str">
        <f t="array" ref="G117">_xlfn.XLOOKUP(B117,Engagement_Master!$A:$A,Engagement_Master!$C:$C,"NOT FOUND")</f>
        <v>Risk Advisory</v>
      </c>
      <c r="H117" s="5" t="str">
        <f t="array" ref="H117">_xlfn.XLOOKUP(B117,Engagement_Master!$A:$A,Engagement_Master!$D:$D,"NOT FOUND")</f>
        <v>Meera Joshi</v>
      </c>
      <c r="I117" s="5">
        <f>SUMIFS(Collections!$D:$D,Collections!$B:$B,A117)</f>
        <v>633000</v>
      </c>
      <c r="J117" s="5">
        <f t="shared" si="1"/>
        <v>0</v>
      </c>
      <c r="K117" s="5">
        <f>IF(J117="","",IF(J117&lt;=0,0,MAX(0,Control!$B$1-D117)))</f>
        <v>0</v>
      </c>
      <c r="L117" s="5" t="str">
        <f t="shared" si="2"/>
        <v>Paid</v>
      </c>
      <c r="M117" s="5" t="str">
        <f t="shared" si="3"/>
        <v>2026-08</v>
      </c>
    </row>
    <row r="118">
      <c r="A118" s="5" t="str">
        <f>Invoices!A118</f>
        <v>INV-26-0056</v>
      </c>
      <c r="B118" s="5" t="str">
        <f>Invoices!B118</f>
        <v>ENG014</v>
      </c>
      <c r="C118" s="6">
        <f>Invoices!C118</f>
        <v>46240</v>
      </c>
      <c r="D118" s="6">
        <f>Invoices!D118</f>
        <v>46270</v>
      </c>
      <c r="E118" s="5">
        <f>IF(Invoices!E118="","",Invoices!E118)</f>
        <v>572000</v>
      </c>
      <c r="F118" s="5" t="str">
        <f t="array" ref="F118">_xlfn.XLOOKUP(B118,Engagement_Master!$A:$A,Engagement_Master!$B:$B,"NOT FOUND")</f>
        <v>Nimbus Motors Ltd</v>
      </c>
      <c r="G118" s="5" t="str">
        <f t="array" ref="G118">_xlfn.XLOOKUP(B118,Engagement_Master!$A:$A,Engagement_Master!$C:$C,"NOT FOUND")</f>
        <v>Tax</v>
      </c>
      <c r="H118" s="5" t="str">
        <f t="array" ref="H118">_xlfn.XLOOKUP(B118,Engagement_Master!$A:$A,Engagement_Master!$D:$D,"NOT FOUND")</f>
        <v>Neha Kapoor</v>
      </c>
      <c r="I118" s="5">
        <f>SUMIFS(Collections!$D:$D,Collections!$B:$B,A118)</f>
        <v>572000</v>
      </c>
      <c r="J118" s="5">
        <f t="shared" si="1"/>
        <v>0</v>
      </c>
      <c r="K118" s="5">
        <f>IF(J118="","",IF(J118&lt;=0,0,MAX(0,Control!$B$1-D118)))</f>
        <v>0</v>
      </c>
      <c r="L118" s="5" t="str">
        <f t="shared" si="2"/>
        <v>Paid</v>
      </c>
      <c r="M118" s="5" t="str">
        <f t="shared" si="3"/>
        <v>2026-08</v>
      </c>
    </row>
    <row r="119">
      <c r="A119" s="5" t="str">
        <f>Invoices!A119</f>
        <v>INV-26-0086</v>
      </c>
      <c r="B119" s="5" t="str">
        <f>Invoices!B119</f>
        <v>ENG021</v>
      </c>
      <c r="C119" s="6">
        <f>Invoices!C119</f>
        <v>46241</v>
      </c>
      <c r="D119" s="6">
        <f>Invoices!D119</f>
        <v>46286</v>
      </c>
      <c r="E119" s="5">
        <f>IF(Invoices!E119="","",Invoices!E119)</f>
        <v>460000</v>
      </c>
      <c r="F119" s="5" t="str">
        <f t="array" ref="F119">_xlfn.XLOOKUP(B119,Engagement_Master!$A:$A,Engagement_Master!$B:$B,"NOT FOUND")</f>
        <v>Unity Infotech Pvt Ltd</v>
      </c>
      <c r="G119" s="5" t="str">
        <f t="array" ref="G119">_xlfn.XLOOKUP(B119,Engagement_Master!$A:$A,Engagement_Master!$C:$C,"NOT FOUND")</f>
        <v>Audit</v>
      </c>
      <c r="H119" s="5" t="str">
        <f t="array" ref="H119">_xlfn.XLOOKUP(B119,Engagement_Master!$A:$A,Engagement_Master!$D:$D,"NOT FOUND")</f>
        <v>Anil Mehta</v>
      </c>
      <c r="I119" s="5">
        <f>SUMIFS(Collections!$D:$D,Collections!$B:$B,A119)</f>
        <v>0</v>
      </c>
      <c r="J119" s="5">
        <f t="shared" si="1"/>
        <v>460000</v>
      </c>
      <c r="K119" s="5">
        <f>IF(J119="","",IF(J119&lt;=0,0,MAX(0,Control!$B$1-D119)))</f>
        <v>9</v>
      </c>
      <c r="L119" s="5" t="str">
        <f t="shared" si="2"/>
        <v>0-30</v>
      </c>
      <c r="M119" s="5" t="str">
        <f t="shared" si="3"/>
        <v>2026-08</v>
      </c>
    </row>
    <row r="120">
      <c r="A120" s="5" t="str">
        <f>Invoices!A120</f>
        <v>INV-26-0060</v>
      </c>
      <c r="B120" s="5" t="str">
        <f>Invoices!B120</f>
        <v>ENG015</v>
      </c>
      <c r="C120" s="6">
        <f>Invoices!C120</f>
        <v>46241</v>
      </c>
      <c r="D120" s="6">
        <f>Invoices!D120</f>
        <v>46286</v>
      </c>
      <c r="E120" s="5">
        <f>IF(Invoices!E120="","",Invoices!E120)</f>
        <v>890000</v>
      </c>
      <c r="F120" s="5" t="str">
        <f t="array" ref="F120">_xlfn.XLOOKUP(B120,Engagement_Master!$A:$A,Engagement_Master!$B:$B,"NOT FOUND")</f>
        <v>Orion Energy Ltd</v>
      </c>
      <c r="G120" s="5" t="str">
        <f t="array" ref="G120">_xlfn.XLOOKUP(B120,Engagement_Master!$A:$A,Engagement_Master!$C:$C,"NOT FOUND")</f>
        <v>Consulting</v>
      </c>
      <c r="H120" s="5" t="str">
        <f t="array" ref="H120">_xlfn.XLOOKUP(B120,Engagement_Master!$A:$A,Engagement_Master!$D:$D,"NOT FOUND")</f>
        <v>Priya Nair</v>
      </c>
      <c r="I120" s="5">
        <f>SUMIFS(Collections!$D:$D,Collections!$B:$B,A120)</f>
        <v>0</v>
      </c>
      <c r="J120" s="5">
        <f t="shared" si="1"/>
        <v>890000</v>
      </c>
      <c r="K120" s="5">
        <f>IF(J120="","",IF(J120&lt;=0,0,MAX(0,Control!$B$1-D120)))</f>
        <v>9</v>
      </c>
      <c r="L120" s="5" t="str">
        <f t="shared" si="2"/>
        <v>0-30</v>
      </c>
      <c r="M120" s="5" t="str">
        <f t="shared" si="3"/>
        <v>2026-08</v>
      </c>
    </row>
    <row r="121">
      <c r="A121" s="5" t="str">
        <f>Invoices!A121</f>
        <v>INV-26-0151</v>
      </c>
      <c r="B121" s="5" t="str">
        <f>Invoices!B121</f>
        <v>ENG037</v>
      </c>
      <c r="C121" s="6">
        <f>Invoices!C121</f>
        <v>46243</v>
      </c>
      <c r="D121" s="6">
        <f>Invoices!D121</f>
        <v>46288</v>
      </c>
      <c r="E121" s="5">
        <f>IF(Invoices!E121="","",Invoices!E121)</f>
        <v>821000</v>
      </c>
      <c r="F121" s="5" t="str">
        <f t="array" ref="F121">_xlfn.XLOOKUP(B121,Engagement_Master!$A:$A,Engagement_Master!$B:$B,"NOT FOUND")</f>
        <v>Monsoon Infotech Pvt Ltd</v>
      </c>
      <c r="G121" s="5" t="str">
        <f t="array" ref="G121">_xlfn.XLOOKUP(B121,Engagement_Master!$A:$A,Engagement_Master!$C:$C,"NOT FOUND")</f>
        <v>Audit</v>
      </c>
      <c r="H121" s="5" t="str">
        <f t="array" ref="H121">_xlfn.XLOOKUP(B121,Engagement_Master!$A:$A,Engagement_Master!$D:$D,"NOT FOUND")</f>
        <v>Kavita Rao</v>
      </c>
      <c r="I121" s="5">
        <f>SUMIFS(Collections!$D:$D,Collections!$B:$B,A121)</f>
        <v>0</v>
      </c>
      <c r="J121" s="5">
        <f t="shared" si="1"/>
        <v>821000</v>
      </c>
      <c r="K121" s="5">
        <f>IF(J121="","",IF(J121&lt;=0,0,MAX(0,Control!$B$1-D121)))</f>
        <v>7</v>
      </c>
      <c r="L121" s="5" t="str">
        <f t="shared" si="2"/>
        <v>0-30</v>
      </c>
      <c r="M121" s="5" t="str">
        <f t="shared" si="3"/>
        <v>2026-08</v>
      </c>
    </row>
    <row r="122">
      <c r="A122" s="5" t="str">
        <f>Invoices!A122</f>
        <v>INV-26-0077</v>
      </c>
      <c r="B122" s="5" t="str">
        <f>Invoices!B122</f>
        <v>ENG019</v>
      </c>
      <c r="C122" s="6">
        <f>Invoices!C122</f>
        <v>46243</v>
      </c>
      <c r="D122" s="6">
        <f>Invoices!D122</f>
        <v>46303</v>
      </c>
      <c r="E122" s="5">
        <f>IF(Invoices!E122="","",Invoices!E122)</f>
        <v>1356000</v>
      </c>
      <c r="F122" s="5" t="str">
        <f t="array" ref="F122">_xlfn.XLOOKUP(B122,Engagement_Master!$A:$A,Engagement_Master!$B:$B,"NOT FOUND")</f>
        <v>Saffron Finance Ltd</v>
      </c>
      <c r="G122" s="5" t="str">
        <f t="array" ref="G122">_xlfn.XLOOKUP(B122,Engagement_Master!$A:$A,Engagement_Master!$C:$C,"NOT FOUND")</f>
        <v>Consulting</v>
      </c>
      <c r="H122" s="5" t="str">
        <f t="array" ref="H122">_xlfn.XLOOKUP(B122,Engagement_Master!$A:$A,Engagement_Master!$D:$D,"NOT FOUND")</f>
        <v>Priya Nair</v>
      </c>
      <c r="I122" s="5">
        <f>SUMIFS(Collections!$D:$D,Collections!$B:$B,A122)</f>
        <v>0</v>
      </c>
      <c r="J122" s="5">
        <f t="shared" si="1"/>
        <v>1356000</v>
      </c>
      <c r="K122" s="5">
        <f>IF(J122="","",IF(J122&lt;=0,0,MAX(0,Control!$B$1-D122)))</f>
        <v>0</v>
      </c>
      <c r="L122" s="5" t="str">
        <f t="shared" si="2"/>
        <v>Not Due</v>
      </c>
      <c r="M122" s="5" t="str">
        <f t="shared" si="3"/>
        <v>2026-08</v>
      </c>
    </row>
    <row r="123">
      <c r="A123" s="5" t="str">
        <f>Invoices!A123</f>
        <v>INV-26-0073</v>
      </c>
      <c r="B123" s="5" t="str">
        <f>Invoices!B123</f>
        <v>ENG018</v>
      </c>
      <c r="C123" s="6">
        <f>Invoices!C123</f>
        <v>46243</v>
      </c>
      <c r="D123" s="6">
        <f>Invoices!D123</f>
        <v>46273</v>
      </c>
      <c r="E123" s="5">
        <f>IF(Invoices!E123="","",Invoices!E123)</f>
        <v>1534000</v>
      </c>
      <c r="F123" s="5" t="str">
        <f t="array" ref="F123">_xlfn.XLOOKUP(B123,Engagement_Master!$A:$A,Engagement_Master!$B:$B,"NOT FOUND")</f>
        <v>Redwood Pharma Pvt Ltd</v>
      </c>
      <c r="G123" s="5" t="str">
        <f t="array" ref="G123">_xlfn.XLOOKUP(B123,Engagement_Master!$A:$A,Engagement_Master!$C:$C,"NOT FOUND")</f>
        <v>Tax</v>
      </c>
      <c r="H123" s="5" t="str">
        <f t="array" ref="H123">_xlfn.XLOOKUP(B123,Engagement_Master!$A:$A,Engagement_Master!$D:$D,"NOT FOUND")</f>
        <v>Neha Kapoor</v>
      </c>
      <c r="I123" s="5">
        <f>SUMIFS(Collections!$D:$D,Collections!$B:$B,A123)</f>
        <v>1534000</v>
      </c>
      <c r="J123" s="5">
        <f t="shared" si="1"/>
        <v>0</v>
      </c>
      <c r="K123" s="5">
        <f>IF(J123="","",IF(J123&lt;=0,0,MAX(0,Control!$B$1-D123)))</f>
        <v>0</v>
      </c>
      <c r="L123" s="5" t="str">
        <f t="shared" si="2"/>
        <v>Paid</v>
      </c>
      <c r="M123" s="5" t="str">
        <f t="shared" si="3"/>
        <v>2026-08</v>
      </c>
    </row>
    <row r="124">
      <c r="A124" s="5" t="str">
        <f>Invoices!A124</f>
        <v>INV-26-0041</v>
      </c>
      <c r="B124" s="5" t="str">
        <f>Invoices!B124</f>
        <v>ENG010</v>
      </c>
      <c r="C124" s="6">
        <f>Invoices!C124</f>
        <v>46244</v>
      </c>
      <c r="D124" s="6">
        <f>Invoices!D124</f>
        <v>46274</v>
      </c>
      <c r="E124" s="5">
        <f>IF(Invoices!E124="","",Invoices!E124)</f>
        <v>-1248000</v>
      </c>
      <c r="F124" s="5" t="str">
        <f t="array" ref="F124">_xlfn.XLOOKUP(B124,Engagement_Master!$A:$A,Engagement_Master!$B:$B,"NOT FOUND")</f>
        <v>Jade Pharma Pvt Ltd</v>
      </c>
      <c r="G124" s="5" t="str">
        <f t="array" ref="G124">_xlfn.XLOOKUP(B124,Engagement_Master!$A:$A,Engagement_Master!$C:$C,"NOT FOUND")</f>
        <v>Tax</v>
      </c>
      <c r="H124" s="5" t="str">
        <f t="array" ref="H124">_xlfn.XLOOKUP(B124,Engagement_Master!$A:$A,Engagement_Master!$D:$D,"NOT FOUND")</f>
        <v>Rohit Sharma</v>
      </c>
      <c r="I124" s="5">
        <f>SUMIFS(Collections!$D:$D,Collections!$B:$B,A124)</f>
        <v>1248000</v>
      </c>
      <c r="J124" s="5">
        <f t="shared" si="1"/>
        <v>-2496000</v>
      </c>
      <c r="K124" s="5">
        <f>IF(J124="","",IF(J124&lt;=0,0,MAX(0,Control!$B$1-D124)))</f>
        <v>0</v>
      </c>
      <c r="L124" s="5" t="str">
        <f t="shared" si="2"/>
        <v>Paid</v>
      </c>
      <c r="M124" s="5" t="str">
        <f t="shared" si="3"/>
        <v>2026-08</v>
      </c>
    </row>
    <row r="125">
      <c r="A125" s="5" t="str">
        <f>Invoices!A125</f>
        <v>INV-26-0105</v>
      </c>
      <c r="B125" s="5" t="str">
        <f>Invoices!B125</f>
        <v>ENG026</v>
      </c>
      <c r="C125" s="6">
        <f>Invoices!C125</f>
        <v>46244</v>
      </c>
      <c r="D125" s="6">
        <f>Invoices!D125</f>
        <v>46304</v>
      </c>
      <c r="E125" s="5">
        <f>IF(Invoices!E125="","",Invoices!E125)</f>
        <v>1312000</v>
      </c>
      <c r="F125" s="5" t="str">
        <f t="array" ref="F125">_xlfn.XLOOKUP(B125,Engagement_Master!$A:$A,Engagement_Master!$B:$B,"NOT FOUND")</f>
        <v>Banyan Pharma Pvt Ltd</v>
      </c>
      <c r="G125" s="5" t="str">
        <f t="array" ref="G125">_xlfn.XLOOKUP(B125,Engagement_Master!$A:$A,Engagement_Master!$C:$C,"NOT FOUND")</f>
        <v>Tax</v>
      </c>
      <c r="H125" s="5" t="str">
        <f t="array" ref="H125">_xlfn.XLOOKUP(B125,Engagement_Master!$A:$A,Engagement_Master!$D:$D,"NOT FOUND")</f>
        <v>Neha Kapoor</v>
      </c>
      <c r="I125" s="5">
        <f>SUMIFS(Collections!$D:$D,Collections!$B:$B,A125)</f>
        <v>0</v>
      </c>
      <c r="J125" s="5">
        <f t="shared" si="1"/>
        <v>1312000</v>
      </c>
      <c r="K125" s="5">
        <f>IF(J125="","",IF(J125&lt;=0,0,MAX(0,Control!$B$1-D125)))</f>
        <v>0</v>
      </c>
      <c r="L125" s="5" t="str">
        <f t="shared" si="2"/>
        <v>Not Due</v>
      </c>
      <c r="M125" s="5" t="str">
        <f t="shared" si="3"/>
        <v>2026-08</v>
      </c>
    </row>
    <row r="126">
      <c r="A126" s="5" t="str">
        <f>Invoices!A126</f>
        <v>INV-26-0082</v>
      </c>
      <c r="B126" s="5" t="str">
        <f>Invoices!B126</f>
        <v>ENG020</v>
      </c>
      <c r="C126" s="6">
        <f>Invoices!C126</f>
        <v>46244</v>
      </c>
      <c r="D126" s="6">
        <f>Invoices!D126</f>
        <v>46289</v>
      </c>
      <c r="E126" s="5">
        <f>IF(Invoices!E126="","",Invoices!E126)</f>
        <v>469000</v>
      </c>
      <c r="F126" s="5" t="str">
        <f t="array" ref="F126">_xlfn.XLOOKUP(B126,Engagement_Master!$A:$A,Engagement_Master!$B:$B,"NOT FOUND")</f>
        <v>Terra Retail Ltd</v>
      </c>
      <c r="G126" s="5" t="str">
        <f t="array" ref="G126">_xlfn.XLOOKUP(B126,Engagement_Master!$A:$A,Engagement_Master!$C:$C,"NOT FOUND")</f>
        <v>Risk Advisory</v>
      </c>
      <c r="H126" s="5" t="str">
        <f t="array" ref="H126">_xlfn.XLOOKUP(B126,Engagement_Master!$A:$A,Engagement_Master!$D:$D,"NOT FOUND")</f>
        <v>Meera Joshi</v>
      </c>
      <c r="I126" s="5">
        <f>SUMIFS(Collections!$D:$D,Collections!$B:$B,A126)</f>
        <v>0</v>
      </c>
      <c r="J126" s="5">
        <f t="shared" si="1"/>
        <v>469000</v>
      </c>
      <c r="K126" s="5">
        <f>IF(J126="","",IF(J126&lt;=0,0,MAX(0,Control!$B$1-D126)))</f>
        <v>6</v>
      </c>
      <c r="L126" s="5" t="str">
        <f t="shared" si="2"/>
        <v>0-30</v>
      </c>
      <c r="M126" s="5" t="str">
        <f t="shared" si="3"/>
        <v>2026-08</v>
      </c>
    </row>
    <row r="127">
      <c r="A127" s="5" t="str">
        <f>Invoices!A127</f>
        <v>INV-26-0100</v>
      </c>
      <c r="B127" s="5" t="str">
        <f>Invoices!B127</f>
        <v>ENG025</v>
      </c>
      <c r="C127" s="6">
        <f>Invoices!C127</f>
        <v>46245</v>
      </c>
      <c r="D127" s="6">
        <f>Invoices!D127</f>
        <v>46275</v>
      </c>
      <c r="E127" s="5">
        <f>IF(Invoices!E127="","",Invoices!E127)</f>
        <v>1075000</v>
      </c>
      <c r="F127" s="5" t="str">
        <f t="array" ref="F127">_xlfn.XLOOKUP(B127,Engagement_Master!$A:$A,Engagement_Master!$B:$B,"NOT FOUND")</f>
        <v>Aurora Industries Ltd</v>
      </c>
      <c r="G127" s="5" t="str">
        <f t="array" ref="G127">_xlfn.XLOOKUP(B127,Engagement_Master!$A:$A,Engagement_Master!$C:$C,"NOT FOUND")</f>
        <v>Audit</v>
      </c>
      <c r="H127" s="5" t="str">
        <f t="array" ref="H127">_xlfn.XLOOKUP(B127,Engagement_Master!$A:$A,Engagement_Master!$D:$D,"NOT FOUND")</f>
        <v>Anil Mehta</v>
      </c>
      <c r="I127" s="5">
        <f>SUMIFS(Collections!$D:$D,Collections!$B:$B,A127)</f>
        <v>0</v>
      </c>
      <c r="J127" s="5">
        <f t="shared" si="1"/>
        <v>1075000</v>
      </c>
      <c r="K127" s="5">
        <f>IF(J127="","",IF(J127&lt;=0,0,MAX(0,Control!$B$1-D127)))</f>
        <v>20</v>
      </c>
      <c r="L127" s="5" t="str">
        <f t="shared" si="2"/>
        <v>0-30</v>
      </c>
      <c r="M127" s="5" t="str">
        <f t="shared" si="3"/>
        <v>2026-08</v>
      </c>
    </row>
    <row r="128">
      <c r="A128" s="5" t="str">
        <f>Invoices!A128</f>
        <v>INV-26-0028</v>
      </c>
      <c r="B128" s="5" t="str">
        <f>Invoices!B128</f>
        <v>ENG007</v>
      </c>
      <c r="C128" s="6">
        <f>Invoices!C128</f>
        <v>46245</v>
      </c>
      <c r="D128" s="6">
        <f>Invoices!D128</f>
        <v>46305</v>
      </c>
      <c r="E128" s="5">
        <f>IF(Invoices!E128="","",Invoices!E128)</f>
        <v>867000</v>
      </c>
      <c r="F128" s="5" t="str">
        <f t="array" ref="F128">_xlfn.XLOOKUP(B128,Engagement_Master!$A:$A,Engagement_Master!$B:$B,"NOT FOUND")</f>
        <v>Granite Energy Ltd</v>
      </c>
      <c r="G128" s="5" t="str">
        <f t="array" ref="G128">_xlfn.XLOOKUP(B128,Engagement_Master!$A:$A,Engagement_Master!$C:$C,"NOT FOUND")</f>
        <v>Consulting</v>
      </c>
      <c r="H128" s="5" t="str">
        <f t="array" ref="H128">_xlfn.XLOOKUP(B128,Engagement_Master!$A:$A,Engagement_Master!$D:$D,"NOT FOUND")</f>
        <v>Vikram Iyer</v>
      </c>
      <c r="I128" s="5">
        <f>SUMIFS(Collections!$D:$D,Collections!$B:$B,A128)</f>
        <v>0</v>
      </c>
      <c r="J128" s="5">
        <f t="shared" si="1"/>
        <v>867000</v>
      </c>
      <c r="K128" s="5">
        <f>IF(J128="","",IF(J128&lt;=0,0,MAX(0,Control!$B$1-D128)))</f>
        <v>0</v>
      </c>
      <c r="L128" s="5" t="str">
        <f t="shared" si="2"/>
        <v>Not Due</v>
      </c>
      <c r="M128" s="5" t="str">
        <f t="shared" si="3"/>
        <v>2026-08</v>
      </c>
    </row>
    <row r="129">
      <c r="A129" s="5" t="str">
        <f>Invoices!A129</f>
        <v>INV-26-0167</v>
      </c>
      <c r="B129" s="5" t="str">
        <f>Invoices!B129</f>
        <v>ENG045</v>
      </c>
      <c r="C129" s="6">
        <f>Invoices!C129</f>
        <v>46246</v>
      </c>
      <c r="D129" s="6">
        <f>Invoices!D129</f>
        <v>46276</v>
      </c>
      <c r="E129" s="5">
        <f>IF(Invoices!E129="","",Invoices!E129)</f>
        <v>450000</v>
      </c>
      <c r="F129" s="5" t="str">
        <f t="array" ref="F129">_xlfn.XLOOKUP(B129,Engagement_Master!$A:$A,Engagement_Master!$B:$B,"NOT FOUND")</f>
        <v>NOT FOUND</v>
      </c>
      <c r="G129" s="5" t="str">
        <f t="array" ref="G129">_xlfn.XLOOKUP(B129,Engagement_Master!$A:$A,Engagement_Master!$C:$C,"NOT FOUND")</f>
        <v>NOT FOUND</v>
      </c>
      <c r="H129" s="5" t="str">
        <f t="array" ref="H129">_xlfn.XLOOKUP(B129,Engagement_Master!$A:$A,Engagement_Master!$D:$D,"NOT FOUND")</f>
        <v>NOT FOUND</v>
      </c>
      <c r="I129" s="5">
        <f>SUMIFS(Collections!$D:$D,Collections!$B:$B,A129)</f>
        <v>0</v>
      </c>
      <c r="J129" s="5">
        <f t="shared" si="1"/>
        <v>450000</v>
      </c>
      <c r="K129" s="5">
        <f>IF(J129="","",IF(J129&lt;=0,0,MAX(0,Control!$B$1-D129)))</f>
        <v>19</v>
      </c>
      <c r="L129" s="5" t="str">
        <f t="shared" si="2"/>
        <v>0-30</v>
      </c>
      <c r="M129" s="5" t="str">
        <f t="shared" si="3"/>
        <v>2026-08</v>
      </c>
    </row>
    <row r="130">
      <c r="A130" s="5" t="str">
        <f>Invoices!A130</f>
        <v>INV-26-0097</v>
      </c>
      <c r="B130" s="5" t="str">
        <f>Invoices!B130</f>
        <v>ENG024</v>
      </c>
      <c r="C130" s="6">
        <f>Invoices!C130</f>
        <v>46246</v>
      </c>
      <c r="D130" s="6">
        <f>Invoices!D130</f>
        <v>46276</v>
      </c>
      <c r="E130" s="5">
        <f>IF(Invoices!E130="","",Invoices!E130)</f>
        <v>934000</v>
      </c>
      <c r="F130" s="5" t="str">
        <f t="array" ref="F130">_xlfn.XLOOKUP(B130,Engagement_Master!$A:$A,Engagement_Master!$B:$B,"NOT FOUND")</f>
        <v>Zenith Foods Pvt Ltd</v>
      </c>
      <c r="G130" s="5" t="str">
        <f t="array" ref="G130">_xlfn.XLOOKUP(B130,Engagement_Master!$A:$A,Engagement_Master!$C:$C,"NOT FOUND")</f>
        <v>Risk Advisory</v>
      </c>
      <c r="H130" s="5" t="str">
        <f t="array" ref="H130">_xlfn.XLOOKUP(B130,Engagement_Master!$A:$A,Engagement_Master!$D:$D,"NOT FOUND")</f>
        <v>Meera Joshi</v>
      </c>
      <c r="I130" s="5">
        <f>SUMIFS(Collections!$D:$D,Collections!$B:$B,A130)</f>
        <v>934000</v>
      </c>
      <c r="J130" s="5">
        <f t="shared" si="1"/>
        <v>0</v>
      </c>
      <c r="K130" s="5">
        <f>IF(J130="","",IF(J130&lt;=0,0,MAX(0,Control!$B$1-D130)))</f>
        <v>0</v>
      </c>
      <c r="L130" s="5" t="str">
        <f t="shared" si="2"/>
        <v>Paid</v>
      </c>
      <c r="M130" s="5" t="str">
        <f t="shared" si="3"/>
        <v>2026-08</v>
      </c>
    </row>
    <row r="131">
      <c r="A131" s="5" t="str">
        <f>Invoices!A131</f>
        <v>INV-26-0110</v>
      </c>
      <c r="B131" s="5" t="str">
        <f>Invoices!B131</f>
        <v>ENG027</v>
      </c>
      <c r="C131" s="6">
        <f>Invoices!C131</f>
        <v>46247</v>
      </c>
      <c r="D131" s="6">
        <f>Invoices!D131</f>
        <v>46277</v>
      </c>
      <c r="E131" s="5">
        <f>IF(Invoices!E131="","",Invoices!E131)</f>
        <v>832000</v>
      </c>
      <c r="F131" s="5" t="str">
        <f t="array" ref="F131">_xlfn.XLOOKUP(B131,Engagement_Master!$A:$A,Engagement_Master!$B:$B,"NOT FOUND")</f>
        <v>Cobalt Finance Ltd</v>
      </c>
      <c r="G131" s="5" t="str">
        <f t="array" ref="G131">_xlfn.XLOOKUP(B131,Engagement_Master!$A:$A,Engagement_Master!$C:$C,"NOT FOUND")</f>
        <v>Consulting</v>
      </c>
      <c r="H131" s="5" t="str">
        <f t="array" ref="H131">_xlfn.XLOOKUP(B131,Engagement_Master!$A:$A,Engagement_Master!$D:$D,"NOT FOUND")</f>
        <v>Priya Nair</v>
      </c>
      <c r="I131" s="5">
        <f>SUMIFS(Collections!$D:$D,Collections!$B:$B,A131)</f>
        <v>0</v>
      </c>
      <c r="J131" s="5">
        <f t="shared" si="1"/>
        <v>832000</v>
      </c>
      <c r="K131" s="5">
        <f>IF(J131="","",IF(J131&lt;=0,0,MAX(0,Control!$B$1-D131)))</f>
        <v>18</v>
      </c>
      <c r="L131" s="5" t="str">
        <f t="shared" si="2"/>
        <v>0-30</v>
      </c>
      <c r="M131" s="5" t="str">
        <f t="shared" si="3"/>
        <v>2026-08</v>
      </c>
    </row>
    <row r="132">
      <c r="A132" s="5" t="str">
        <f>Invoices!A132</f>
        <v>INV-26-0004</v>
      </c>
      <c r="B132" s="5" t="str">
        <f>Invoices!B132</f>
        <v>ENG001</v>
      </c>
      <c r="C132" s="6">
        <f>Invoices!C132</f>
        <v>46248</v>
      </c>
      <c r="D132" s="6">
        <f>Invoices!D132</f>
        <v>46278</v>
      </c>
      <c r="E132" s="5">
        <f>IF(Invoices!E132="","",Invoices!E132)</f>
        <v>280000</v>
      </c>
      <c r="F132" s="5" t="str">
        <f t="array" ref="F132">_xlfn.XLOOKUP(B132,Engagement_Master!$A:$A,Engagement_Master!$B:$B,"NOT FOUND")</f>
        <v>Arcadia Industries Ltd</v>
      </c>
      <c r="G132" s="5" t="str">
        <f t="array" ref="G132">_xlfn.XLOOKUP(B132,Engagement_Master!$A:$A,Engagement_Master!$C:$C,"NOT FOUND")</f>
        <v>Audit</v>
      </c>
      <c r="H132" s="5" t="str">
        <f t="array" ref="H132">_xlfn.XLOOKUP(B132,Engagement_Master!$A:$A,Engagement_Master!$D:$D,"NOT FOUND")</f>
        <v>Anil Mehta</v>
      </c>
      <c r="I132" s="5">
        <f>SUMIFS(Collections!$D:$D,Collections!$B:$B,A132)</f>
        <v>280000</v>
      </c>
      <c r="J132" s="5">
        <f t="shared" si="1"/>
        <v>0</v>
      </c>
      <c r="K132" s="5">
        <f>IF(J132="","",IF(J132&lt;=0,0,MAX(0,Control!$B$1-D132)))</f>
        <v>0</v>
      </c>
      <c r="L132" s="5" t="str">
        <f t="shared" si="2"/>
        <v>Paid</v>
      </c>
      <c r="M132" s="5" t="str">
        <f t="shared" si="3"/>
        <v>2026-08</v>
      </c>
    </row>
    <row r="133">
      <c r="A133" s="5" t="str">
        <f>Invoices!A133</f>
        <v>INV-26-0045</v>
      </c>
      <c r="B133" s="5" t="str">
        <f>Invoices!B133</f>
        <v>ENG011</v>
      </c>
      <c r="C133" s="6">
        <f>Invoices!C133</f>
        <v>46248</v>
      </c>
      <c r="D133" s="6">
        <f>Invoices!D133</f>
        <v>46278</v>
      </c>
      <c r="E133" s="5">
        <f>IF(Invoices!E133="","",Invoices!E133)</f>
        <v>740000</v>
      </c>
      <c r="F133" s="5" t="str">
        <f t="array" ref="F133">_xlfn.XLOOKUP(B133,Engagement_Master!$A:$A,Engagement_Master!$B:$B,"NOT FOUND")</f>
        <v>Kestrel Finance Ltd</v>
      </c>
      <c r="G133" s="5" t="str">
        <f t="array" ref="G133">_xlfn.XLOOKUP(B133,Engagement_Master!$A:$A,Engagement_Master!$C:$C,"NOT FOUND")</f>
        <v>Consulting</v>
      </c>
      <c r="H133" s="5" t="str">
        <f t="array" ref="H133">_xlfn.XLOOKUP(B133,Engagement_Master!$A:$A,Engagement_Master!$D:$D,"NOT FOUND")</f>
        <v>Vikram Iyer</v>
      </c>
      <c r="I133" s="5">
        <f>SUMIFS(Collections!$D:$D,Collections!$B:$B,A133)</f>
        <v>0</v>
      </c>
      <c r="J133" s="5">
        <f t="shared" si="1"/>
        <v>740000</v>
      </c>
      <c r="K133" s="5">
        <f>IF(J133="","",IF(J133&lt;=0,0,MAX(0,Control!$B$1-D133)))</f>
        <v>17</v>
      </c>
      <c r="L133" s="5" t="str">
        <f t="shared" si="2"/>
        <v>0-30</v>
      </c>
      <c r="M133" s="5" t="str">
        <f t="shared" si="3"/>
        <v>2026-08</v>
      </c>
    </row>
    <row r="134">
      <c r="A134" s="5" t="str">
        <f>Invoices!A134</f>
        <v>INV-26-0064</v>
      </c>
      <c r="B134" s="5" t="str">
        <f>Invoices!B134</f>
        <v>ENG016</v>
      </c>
      <c r="C134" s="6">
        <f>Invoices!C134</f>
        <v>46249</v>
      </c>
      <c r="D134" s="6">
        <f>Invoices!D134</f>
        <v>46279</v>
      </c>
      <c r="E134" s="5">
        <f>IF(Invoices!E134="","",Invoices!E134)</f>
        <v>808000</v>
      </c>
      <c r="F134" s="5" t="str">
        <f t="array" ref="F134">_xlfn.XLOOKUP(B134,Engagement_Master!$A:$A,Engagement_Master!$B:$B,"NOT FOUND")</f>
        <v>Pinnacle Foods Pvt Ltd</v>
      </c>
      <c r="G134" s="5" t="str">
        <f t="array" ref="G134">_xlfn.XLOOKUP(B134,Engagement_Master!$A:$A,Engagement_Master!$C:$C,"NOT FOUND")</f>
        <v>Risk Advisory</v>
      </c>
      <c r="H134" s="5" t="str">
        <f t="array" ref="H134">_xlfn.XLOOKUP(B134,Engagement_Master!$A:$A,Engagement_Master!$D:$D,"NOT FOUND")</f>
        <v>Sanjay Gupta</v>
      </c>
      <c r="I134" s="5">
        <f>SUMIFS(Collections!$D:$D,Collections!$B:$B,A134)</f>
        <v>808000</v>
      </c>
      <c r="J134" s="5">
        <f t="shared" si="1"/>
        <v>0</v>
      </c>
      <c r="K134" s="5">
        <f>IF(J134="","",IF(J134&lt;=0,0,MAX(0,Control!$B$1-D134)))</f>
        <v>0</v>
      </c>
      <c r="L134" s="5" t="str">
        <f t="shared" si="2"/>
        <v>Paid</v>
      </c>
      <c r="M134" s="5" t="str">
        <f t="shared" si="3"/>
        <v>2026-08</v>
      </c>
    </row>
    <row r="135">
      <c r="A135" s="5" t="str">
        <f>Invoices!A135</f>
        <v>INV-26-0032</v>
      </c>
      <c r="B135" s="5" t="str">
        <f>Invoices!B135</f>
        <v>ENG008</v>
      </c>
      <c r="C135" s="6">
        <f>Invoices!C135</f>
        <v>46249</v>
      </c>
      <c r="D135" s="6">
        <f>Invoices!D135</f>
        <v>46294</v>
      </c>
      <c r="E135" s="5">
        <f>IF(Invoices!E135="","",Invoices!E135)</f>
        <v>1258000</v>
      </c>
      <c r="F135" s="5" t="str">
        <f t="array" ref="F135">_xlfn.XLOOKUP(B135,Engagement_Master!$A:$A,Engagement_Master!$B:$B,"NOT FOUND")</f>
        <v>Horizon Foods Pvt Ltd</v>
      </c>
      <c r="G135" s="5" t="str">
        <f t="array" ref="G135">_xlfn.XLOOKUP(B135,Engagement_Master!$A:$A,Engagement_Master!$C:$C,"NOT FOUND")</f>
        <v>Risk Advisory</v>
      </c>
      <c r="H135" s="5" t="str">
        <f t="array" ref="H135">_xlfn.XLOOKUP(B135,Engagement_Master!$A:$A,Engagement_Master!$D:$D,"NOT FOUND")</f>
        <v>Sanjay Gupta</v>
      </c>
      <c r="I135" s="5">
        <f>SUMIFS(Collections!$D:$D,Collections!$B:$B,A135)</f>
        <v>856000</v>
      </c>
      <c r="J135" s="5">
        <f t="shared" si="1"/>
        <v>402000</v>
      </c>
      <c r="K135" s="5">
        <f>IF(J135="","",IF(J135&lt;=0,0,MAX(0,Control!$B$1-D135)))</f>
        <v>1</v>
      </c>
      <c r="L135" s="5" t="str">
        <f t="shared" si="2"/>
        <v>0-30</v>
      </c>
      <c r="M135" s="5" t="str">
        <f t="shared" si="3"/>
        <v>2026-08</v>
      </c>
    </row>
    <row r="136">
      <c r="A136" s="5" t="str">
        <f>Invoices!A136</f>
        <v>INV-26-0117</v>
      </c>
      <c r="B136" s="5" t="str">
        <f>Invoices!B136</f>
        <v>ENG029</v>
      </c>
      <c r="C136" s="6">
        <f>Invoices!C136</f>
        <v>46250</v>
      </c>
      <c r="D136" s="6">
        <f>Invoices!D136</f>
        <v>46280</v>
      </c>
      <c r="E136" s="5">
        <f>IF(Invoices!E136="","",Invoices!E136)</f>
        <v>687000</v>
      </c>
      <c r="F136" s="5" t="str">
        <f t="array" ref="F136">_xlfn.XLOOKUP(B136,Engagement_Master!$A:$A,Engagement_Master!$B:$B,"NOT FOUND")</f>
        <v>Ember Infotech Pvt Ltd</v>
      </c>
      <c r="G136" s="5" t="str">
        <f t="array" ref="G136">_xlfn.XLOOKUP(B136,Engagement_Master!$A:$A,Engagement_Master!$C:$C,"NOT FOUND")</f>
        <v>Audit</v>
      </c>
      <c r="H136" s="5" t="str">
        <f t="array" ref="H136">_xlfn.XLOOKUP(B136,Engagement_Master!$A:$A,Engagement_Master!$D:$D,"NOT FOUND")</f>
        <v>Kavita Rao</v>
      </c>
      <c r="I136" s="5">
        <f>SUMIFS(Collections!$D:$D,Collections!$B:$B,A136)</f>
        <v>687000</v>
      </c>
      <c r="J136" s="5">
        <f t="shared" si="1"/>
        <v>0</v>
      </c>
      <c r="K136" s="5">
        <f>IF(J136="","",IF(J136&lt;=0,0,MAX(0,Control!$B$1-D136)))</f>
        <v>0</v>
      </c>
      <c r="L136" s="5" t="str">
        <f t="shared" si="2"/>
        <v>Paid</v>
      </c>
      <c r="M136" s="5" t="str">
        <f t="shared" si="3"/>
        <v>2026-08</v>
      </c>
    </row>
    <row r="137">
      <c r="A137" s="5" t="str">
        <f>Invoices!A137</f>
        <v>INV-26-0160</v>
      </c>
      <c r="B137" s="5" t="str">
        <f>Invoices!B137</f>
        <v>ENG039</v>
      </c>
      <c r="C137" s="6">
        <f>Invoices!C137</f>
        <v>46251</v>
      </c>
      <c r="D137" s="6">
        <f>Invoices!D137</f>
        <v>46311</v>
      </c>
      <c r="E137" s="5">
        <f>IF(Invoices!E137="","",Invoices!E137)</f>
        <v>665000</v>
      </c>
      <c r="F137" s="5" t="str">
        <f t="array" ref="F137">_xlfn.XLOOKUP(B137,Engagement_Master!$A:$A,Engagement_Master!$B:$B,"NOT FOUND")</f>
        <v>Opal Energy Ltd</v>
      </c>
      <c r="G137" s="5" t="str">
        <f t="array" ref="G137">_xlfn.XLOOKUP(B137,Engagement_Master!$A:$A,Engagement_Master!$C:$C,"NOT FOUND")</f>
        <v>Consulting</v>
      </c>
      <c r="H137" s="5" t="str">
        <f t="array" ref="H137">_xlfn.XLOOKUP(B137,Engagement_Master!$A:$A,Engagement_Master!$D:$D,"NOT FOUND")</f>
        <v>Vikram Iyer</v>
      </c>
      <c r="I137" s="5">
        <f>SUMIFS(Collections!$D:$D,Collections!$B:$B,A137)</f>
        <v>0</v>
      </c>
      <c r="J137" s="5">
        <f t="shared" si="1"/>
        <v>665000</v>
      </c>
      <c r="K137" s="5">
        <f>IF(J137="","",IF(J137&lt;=0,0,MAX(0,Control!$B$1-D137)))</f>
        <v>0</v>
      </c>
      <c r="L137" s="5" t="str">
        <f t="shared" si="2"/>
        <v>Not Due</v>
      </c>
      <c r="M137" s="5" t="str">
        <f t="shared" si="3"/>
        <v>2026-08</v>
      </c>
    </row>
    <row r="138">
      <c r="A138" s="5" t="str">
        <f>Invoices!A138</f>
        <v>INV-26-0049</v>
      </c>
      <c r="B138" s="5" t="str">
        <f>Invoices!B138</f>
        <v>ENG012</v>
      </c>
      <c r="C138" s="6">
        <f>Invoices!C138</f>
        <v>46253</v>
      </c>
      <c r="D138" s="6">
        <f>Invoices!D138</f>
        <v>46283</v>
      </c>
      <c r="E138" s="5">
        <f>IF(Invoices!E138="","",Invoices!E138)</f>
        <v>457000</v>
      </c>
      <c r="F138" s="5" t="str">
        <f t="array" ref="F138">_xlfn.XLOOKUP(B138,Engagement_Master!$A:$A,Engagement_Master!$B:$B,"NOT FOUND")</f>
        <v>Lotus Retail Ltd</v>
      </c>
      <c r="G138" s="5" t="str">
        <f t="array" ref="G138">_xlfn.XLOOKUP(B138,Engagement_Master!$A:$A,Engagement_Master!$C:$C,"NOT FOUND")</f>
        <v>Risk Advisory</v>
      </c>
      <c r="H138" s="5" t="str">
        <f t="array" ref="H138">_xlfn.XLOOKUP(B138,Engagement_Master!$A:$A,Engagement_Master!$D:$D,"NOT FOUND")</f>
        <v>Meera Joshi</v>
      </c>
      <c r="I138" s="5">
        <f>SUMIFS(Collections!$D:$D,Collections!$B:$B,A138)</f>
        <v>0</v>
      </c>
      <c r="J138" s="5">
        <f t="shared" si="1"/>
        <v>457000</v>
      </c>
      <c r="K138" s="5">
        <f>IF(J138="","",IF(J138&lt;=0,0,MAX(0,Control!$B$1-D138)))</f>
        <v>12</v>
      </c>
      <c r="L138" s="5" t="str">
        <f t="shared" si="2"/>
        <v>0-30</v>
      </c>
      <c r="M138" s="5" t="str">
        <f t="shared" si="3"/>
        <v>2026-08</v>
      </c>
    </row>
    <row r="139">
      <c r="A139" s="5" t="str">
        <f>Invoices!A139</f>
        <v>INV-26-0011</v>
      </c>
      <c r="B139" s="5" t="str">
        <f>Invoices!B139</f>
        <v>ENG003</v>
      </c>
      <c r="C139" s="6">
        <f>Invoices!C139</f>
        <v>46255</v>
      </c>
      <c r="D139" s="6">
        <f>Invoices!D139</f>
        <v>46285</v>
      </c>
      <c r="E139" s="5">
        <f>IF(Invoices!E139="","",Invoices!E139)</f>
        <v>781000</v>
      </c>
      <c r="F139" s="5" t="str">
        <f t="array" ref="F139">_xlfn.XLOOKUP(B139,Engagement_Master!$A:$A,Engagement_Master!$B:$B,"NOT FOUND")</f>
        <v>Crestline Finance Ltd</v>
      </c>
      <c r="G139" s="5" t="str">
        <f t="array" ref="G139">_xlfn.XLOOKUP(B139,Engagement_Master!$A:$A,Engagement_Master!$C:$C,"NOT FOUND")</f>
        <v>Consulting</v>
      </c>
      <c r="H139" s="5" t="str">
        <f t="array" ref="H139">_xlfn.XLOOKUP(B139,Engagement_Master!$A:$A,Engagement_Master!$D:$D,"NOT FOUND")</f>
        <v>Vikram Iyer</v>
      </c>
      <c r="I139" s="5">
        <f>SUMIFS(Collections!$D:$D,Collections!$B:$B,A139)</f>
        <v>0</v>
      </c>
      <c r="J139" s="5">
        <f t="shared" si="1"/>
        <v>781000</v>
      </c>
      <c r="K139" s="5">
        <f>IF(J139="","",IF(J139&lt;=0,0,MAX(0,Control!$B$1-D139)))</f>
        <v>10</v>
      </c>
      <c r="L139" s="5" t="str">
        <f t="shared" si="2"/>
        <v>0-30</v>
      </c>
      <c r="M139" s="5" t="str">
        <f t="shared" si="3"/>
        <v>2026-08</v>
      </c>
    </row>
    <row r="140">
      <c r="A140" s="5" t="str">
        <f>Invoices!A140</f>
        <v>INV-26-0093</v>
      </c>
      <c r="B140" s="5" t="str">
        <f>Invoices!B140</f>
        <v>ENG023</v>
      </c>
      <c r="C140" s="6">
        <f>Invoices!C140</f>
        <v>46255</v>
      </c>
      <c r="D140" s="6">
        <f>Invoices!D140</f>
        <v>46315</v>
      </c>
      <c r="E140" s="5">
        <f>IF(Invoices!E140="","",Invoices!E140)</f>
        <v>347000</v>
      </c>
      <c r="F140" s="5" t="str">
        <f t="array" ref="F140">_xlfn.XLOOKUP(B140,Engagement_Master!$A:$A,Engagement_Master!$B:$B,"NOT FOUND")</f>
        <v>Westbrook Energy Ltd</v>
      </c>
      <c r="G140" s="5" t="str">
        <f t="array" ref="G140">_xlfn.XLOOKUP(B140,Engagement_Master!$A:$A,Engagement_Master!$C:$C,"NOT FOUND")</f>
        <v>Consulting</v>
      </c>
      <c r="H140" s="5" t="str">
        <f t="array" ref="H140">_xlfn.XLOOKUP(B140,Engagement_Master!$A:$A,Engagement_Master!$D:$D,"NOT FOUND")</f>
        <v>Priya Nair</v>
      </c>
      <c r="I140" s="5">
        <f>SUMIFS(Collections!$D:$D,Collections!$B:$B,A140)</f>
        <v>0</v>
      </c>
      <c r="J140" s="5">
        <f t="shared" si="1"/>
        <v>347000</v>
      </c>
      <c r="K140" s="5">
        <f>IF(J140="","",IF(J140&lt;=0,0,MAX(0,Control!$B$1-D140)))</f>
        <v>0</v>
      </c>
      <c r="L140" s="5" t="str">
        <f t="shared" si="2"/>
        <v>Not Due</v>
      </c>
      <c r="M140" s="5" t="str">
        <f t="shared" si="3"/>
        <v>2026-08</v>
      </c>
    </row>
    <row r="141">
      <c r="A141" s="5" t="str">
        <f>Invoices!A141</f>
        <v>INV-26-0165</v>
      </c>
      <c r="B141" s="5" t="str">
        <f>Invoices!B141</f>
        <v>ENG040</v>
      </c>
      <c r="C141" s="6">
        <f>Invoices!C141</f>
        <v>46256</v>
      </c>
      <c r="D141" s="6">
        <f>Invoices!D141</f>
        <v>46286</v>
      </c>
      <c r="E141" s="5">
        <f>IF(Invoices!E141="","",Invoices!E141)</f>
        <v>1002000</v>
      </c>
      <c r="F141" s="5" t="str">
        <f t="array" ref="F141">_xlfn.XLOOKUP(B141,Engagement_Master!$A:$A,Engagement_Master!$B:$B,"NOT FOUND")</f>
        <v>Pioneer Foods Pvt Ltd</v>
      </c>
      <c r="G141" s="5" t="str">
        <f t="array" ref="G141">_xlfn.XLOOKUP(B141,Engagement_Master!$A:$A,Engagement_Master!$C:$C,"NOT FOUND")</f>
        <v>Risk Advisory</v>
      </c>
      <c r="H141" s="5" t="str">
        <f t="array" ref="H141">_xlfn.XLOOKUP(B141,Engagement_Master!$A:$A,Engagement_Master!$D:$D,"NOT FOUND")</f>
        <v>Sanjay Gupta</v>
      </c>
      <c r="I141" s="5">
        <f>SUMIFS(Collections!$D:$D,Collections!$B:$B,A141)</f>
        <v>0</v>
      </c>
      <c r="J141" s="5">
        <f t="shared" si="1"/>
        <v>1002000</v>
      </c>
      <c r="K141" s="5">
        <f>IF(J141="","",IF(J141&lt;=0,0,MAX(0,Control!$B$1-D141)))</f>
        <v>9</v>
      </c>
      <c r="L141" s="5" t="str">
        <f t="shared" si="2"/>
        <v>0-30</v>
      </c>
      <c r="M141" s="5" t="str">
        <f t="shared" si="3"/>
        <v>2026-08</v>
      </c>
    </row>
    <row r="142">
      <c r="A142" s="5" t="str">
        <f>Invoices!A142</f>
        <v>INV-26-0156</v>
      </c>
      <c r="B142" s="5" t="str">
        <f>Invoices!B142</f>
        <v>ENG038</v>
      </c>
      <c r="C142" s="6">
        <f>Invoices!C142</f>
        <v>46257</v>
      </c>
      <c r="D142" s="6">
        <f>Invoices!D142</f>
        <v>46302</v>
      </c>
      <c r="E142" s="5">
        <f>IF(Invoices!E142="","",Invoices!E142)</f>
        <v>1365000</v>
      </c>
      <c r="F142" s="5" t="str">
        <f t="array" ref="F142">_xlfn.XLOOKUP(B142,Engagement_Master!$A:$A,Engagement_Master!$B:$B,"NOT FOUND")</f>
        <v>Nova Motors Ltd</v>
      </c>
      <c r="G142" s="5" t="str">
        <f t="array" ref="G142">_xlfn.XLOOKUP(B142,Engagement_Master!$A:$A,Engagement_Master!$C:$C,"NOT FOUND")</f>
        <v>Tax</v>
      </c>
      <c r="H142" s="5" t="str">
        <f t="array" ref="H142">_xlfn.XLOOKUP(B142,Engagement_Master!$A:$A,Engagement_Master!$D:$D,"NOT FOUND")</f>
        <v>Neha Kapoor</v>
      </c>
      <c r="I142" s="5">
        <f>SUMIFS(Collections!$D:$D,Collections!$B:$B,A142)</f>
        <v>0</v>
      </c>
      <c r="J142" s="5">
        <f t="shared" si="1"/>
        <v>1365000</v>
      </c>
      <c r="K142" s="5">
        <f>IF(J142="","",IF(J142&lt;=0,0,MAX(0,Control!$B$1-D142)))</f>
        <v>0</v>
      </c>
      <c r="L142" s="5" t="str">
        <f t="shared" si="2"/>
        <v>Not Due</v>
      </c>
      <c r="M142" s="5" t="str">
        <f t="shared" si="3"/>
        <v>2026-08</v>
      </c>
    </row>
    <row r="143">
      <c r="A143" s="5" t="str">
        <f>Invoices!A143</f>
        <v>INV-26-0125</v>
      </c>
      <c r="B143" s="5" t="str">
        <f>Invoices!B143</f>
        <v>ENG031</v>
      </c>
      <c r="C143" s="6">
        <f>Invoices!C143</f>
        <v>46257</v>
      </c>
      <c r="D143" s="6">
        <f>Invoices!D143</f>
        <v>46317</v>
      </c>
      <c r="E143" s="5">
        <f>IF(Invoices!E143="","",Invoices!E143)</f>
        <v>1165000</v>
      </c>
      <c r="F143" s="5" t="str">
        <f t="array" ref="F143">_xlfn.XLOOKUP(B143,Engagement_Master!$A:$A,Engagement_Master!$B:$B,"NOT FOUND")</f>
        <v>Glacier Energy Ltd</v>
      </c>
      <c r="G143" s="5" t="str">
        <f t="array" ref="G143">_xlfn.XLOOKUP(B143,Engagement_Master!$A:$A,Engagement_Master!$C:$C,"NOT FOUND")</f>
        <v>Consulting</v>
      </c>
      <c r="H143" s="5" t="str">
        <f t="array" ref="H143">_xlfn.XLOOKUP(B143,Engagement_Master!$A:$A,Engagement_Master!$D:$D,"NOT FOUND")</f>
        <v>Priya Nair</v>
      </c>
      <c r="I143" s="5">
        <f>SUMIFS(Collections!$D:$D,Collections!$B:$B,A143)</f>
        <v>0</v>
      </c>
      <c r="J143" s="5">
        <f t="shared" si="1"/>
        <v>1165000</v>
      </c>
      <c r="K143" s="5">
        <f>IF(J143="","",IF(J143&lt;=0,0,MAX(0,Control!$B$1-D143)))</f>
        <v>0</v>
      </c>
      <c r="L143" s="5" t="str">
        <f t="shared" si="2"/>
        <v>Not Due</v>
      </c>
      <c r="M143" s="5" t="str">
        <f t="shared" si="3"/>
        <v>2026-08</v>
      </c>
    </row>
    <row r="144">
      <c r="A144" s="5" t="str">
        <f>Invoices!A144</f>
        <v>INV-26-0134</v>
      </c>
      <c r="B144" s="5" t="str">
        <f>Invoices!B144</f>
        <v>ENG033</v>
      </c>
      <c r="C144" s="6">
        <f>Invoices!C144</f>
        <v>46257</v>
      </c>
      <c r="D144" s="6">
        <f>Invoices!D144</f>
        <v>46287</v>
      </c>
      <c r="E144" s="5">
        <f>IF(Invoices!E144="","",Invoices!E144)</f>
        <v>553000</v>
      </c>
      <c r="F144" s="5" t="str">
        <f t="array" ref="F144">_xlfn.XLOOKUP(B144,Engagement_Master!$A:$A,Engagement_Master!$B:$B,"NOT FOUND")</f>
        <v>Ivory Industries Ltd</v>
      </c>
      <c r="G144" s="5" t="str">
        <f t="array" ref="G144">_xlfn.XLOOKUP(B144,Engagement_Master!$A:$A,Engagement_Master!$C:$C,"NOT FOUND")</f>
        <v>Audit</v>
      </c>
      <c r="H144" s="5" t="str">
        <f t="array" ref="H144">_xlfn.XLOOKUP(B144,Engagement_Master!$A:$A,Engagement_Master!$D:$D,"NOT FOUND")</f>
        <v>Anil Mehta</v>
      </c>
      <c r="I144" s="5">
        <f>SUMIFS(Collections!$D:$D,Collections!$B:$B,A144)</f>
        <v>0</v>
      </c>
      <c r="J144" s="5">
        <f t="shared" si="1"/>
        <v>553000</v>
      </c>
      <c r="K144" s="5">
        <f>IF(J144="","",IF(J144&lt;=0,0,MAX(0,Control!$B$1-D144)))</f>
        <v>8</v>
      </c>
      <c r="L144" s="5" t="str">
        <f t="shared" si="2"/>
        <v>0-30</v>
      </c>
      <c r="M144" s="5" t="str">
        <f t="shared" si="3"/>
        <v>2026-08</v>
      </c>
    </row>
    <row r="145">
      <c r="A145" s="5" t="str">
        <f>Invoices!A145</f>
        <v>INV-26-0139</v>
      </c>
      <c r="B145" s="5" t="str">
        <f>Invoices!B145</f>
        <v>ENG034</v>
      </c>
      <c r="C145" s="6">
        <f>Invoices!C145</f>
        <v>46259</v>
      </c>
      <c r="D145" s="6">
        <f>Invoices!D145</f>
        <v>46289</v>
      </c>
      <c r="E145" s="5">
        <f>IF(Invoices!E145="","",Invoices!E145)</f>
        <v>1099000</v>
      </c>
      <c r="F145" s="5" t="str">
        <f t="array" ref="F145">_xlfn.XLOOKUP(B145,Engagement_Master!$A:$A,Engagement_Master!$B:$B,"NOT FOUND")</f>
        <v>Juniper Pharma Pvt Ltd</v>
      </c>
      <c r="G145" s="5" t="str">
        <f t="array" ref="G145">_xlfn.XLOOKUP(B145,Engagement_Master!$A:$A,Engagement_Master!$C:$C,"NOT FOUND")</f>
        <v>Tax</v>
      </c>
      <c r="H145" s="5" t="str">
        <f t="array" ref="H145">_xlfn.XLOOKUP(B145,Engagement_Master!$A:$A,Engagement_Master!$D:$D,"NOT FOUND")</f>
        <v>Neha Kapoor</v>
      </c>
      <c r="I145" s="5">
        <f>SUMIFS(Collections!$D:$D,Collections!$B:$B,A145)</f>
        <v>1099000</v>
      </c>
      <c r="J145" s="5">
        <f t="shared" si="1"/>
        <v>0</v>
      </c>
      <c r="K145" s="5">
        <f>IF(J145="","",IF(J145&lt;=0,0,MAX(0,Control!$B$1-D145)))</f>
        <v>0</v>
      </c>
      <c r="L145" s="5" t="str">
        <f t="shared" si="2"/>
        <v>Paid</v>
      </c>
      <c r="M145" s="5" t="str">
        <f t="shared" si="3"/>
        <v>2026-08</v>
      </c>
    </row>
    <row r="146">
      <c r="A146" s="5" t="str">
        <f>Invoices!A146</f>
        <v>INV-26-0023</v>
      </c>
      <c r="B146" s="5" t="str">
        <f>Invoices!B146</f>
        <v>ENG006</v>
      </c>
      <c r="C146" s="6">
        <f>Invoices!C146</f>
        <v>46259</v>
      </c>
      <c r="D146" s="6">
        <f>Invoices!D146</f>
        <v>46289</v>
      </c>
      <c r="E146" s="5">
        <f>IF(Invoices!E146="","",Invoices!E146)</f>
        <v>960000</v>
      </c>
      <c r="F146" s="5" t="str">
        <f t="array" ref="F146">_xlfn.XLOOKUP(B146,Engagement_Master!$A:$A,Engagement_Master!$B:$B,"NOT FOUND")</f>
        <v>Fulcrum Motors Ltd</v>
      </c>
      <c r="G146" s="5" t="str">
        <f t="array" ref="G146">_xlfn.XLOOKUP(B146,Engagement_Master!$A:$A,Engagement_Master!$C:$C,"NOT FOUND")</f>
        <v>Tax</v>
      </c>
      <c r="H146" s="5" t="str">
        <f t="array" ref="H146">_xlfn.XLOOKUP(B146,Engagement_Master!$A:$A,Engagement_Master!$D:$D,"NOT FOUND")</f>
        <v>Rohit Sharma</v>
      </c>
      <c r="I146" s="5">
        <f>SUMIFS(Collections!$D:$D,Collections!$B:$B,A146)</f>
        <v>0</v>
      </c>
      <c r="J146" s="5">
        <f t="shared" si="1"/>
        <v>960000</v>
      </c>
      <c r="K146" s="5">
        <f>IF(J146="","",IF(J146&lt;=0,0,MAX(0,Control!$B$1-D146)))</f>
        <v>6</v>
      </c>
      <c r="L146" s="5" t="str">
        <f t="shared" si="2"/>
        <v>0-30</v>
      </c>
      <c r="M146" s="5" t="str">
        <f t="shared" si="3"/>
        <v>2026-08</v>
      </c>
    </row>
    <row r="147">
      <c r="A147" s="5" t="str">
        <f>Invoices!A147</f>
        <v>INV-26-0012</v>
      </c>
      <c r="B147" s="5" t="str">
        <f>Invoices!B147</f>
        <v>ENG003</v>
      </c>
      <c r="C147" s="6">
        <f>Invoices!C147</f>
        <v>46269</v>
      </c>
      <c r="D147" s="6">
        <f>Invoices!D147</f>
        <v>46299</v>
      </c>
      <c r="E147" s="5">
        <f>IF(Invoices!E147="","",Invoices!E147)</f>
        <v>577000</v>
      </c>
      <c r="F147" s="5" t="str">
        <f t="array" ref="F147">_xlfn.XLOOKUP(B147,Engagement_Master!$A:$A,Engagement_Master!$B:$B,"NOT FOUND")</f>
        <v>Crestline Finance Ltd</v>
      </c>
      <c r="G147" s="5" t="str">
        <f t="array" ref="G147">_xlfn.XLOOKUP(B147,Engagement_Master!$A:$A,Engagement_Master!$C:$C,"NOT FOUND")</f>
        <v>Consulting</v>
      </c>
      <c r="H147" s="5" t="str">
        <f t="array" ref="H147">_xlfn.XLOOKUP(B147,Engagement_Master!$A:$A,Engagement_Master!$D:$D,"NOT FOUND")</f>
        <v>Vikram Iyer</v>
      </c>
      <c r="I147" s="5">
        <f>SUMIFS(Collections!$D:$D,Collections!$B:$B,A147)</f>
        <v>0</v>
      </c>
      <c r="J147" s="5">
        <f t="shared" si="1"/>
        <v>577000</v>
      </c>
      <c r="K147" s="5">
        <f>IF(J147="","",IF(J147&lt;=0,0,MAX(0,Control!$B$1-D147)))</f>
        <v>0</v>
      </c>
      <c r="L147" s="5" t="str">
        <f t="shared" si="2"/>
        <v>Not Due</v>
      </c>
      <c r="M147" s="5" t="str">
        <f t="shared" si="3"/>
        <v>2026-09</v>
      </c>
    </row>
    <row r="148">
      <c r="A148" s="5" t="str">
        <f>Invoices!A148</f>
        <v>INV-26-0029</v>
      </c>
      <c r="B148" s="5" t="str">
        <f>Invoices!B148</f>
        <v>ENG007</v>
      </c>
      <c r="C148" s="6">
        <f>Invoices!C148</f>
        <v>46269</v>
      </c>
      <c r="D148" s="6">
        <f>Invoices!D148</f>
        <v>46329</v>
      </c>
      <c r="E148" s="5">
        <f>IF(Invoices!E148="","",Invoices!E148)</f>
        <v>1303000</v>
      </c>
      <c r="F148" s="5" t="str">
        <f t="array" ref="F148">_xlfn.XLOOKUP(B148,Engagement_Master!$A:$A,Engagement_Master!$B:$B,"NOT FOUND")</f>
        <v>Granite Energy Ltd</v>
      </c>
      <c r="G148" s="5" t="str">
        <f t="array" ref="G148">_xlfn.XLOOKUP(B148,Engagement_Master!$A:$A,Engagement_Master!$C:$C,"NOT FOUND")</f>
        <v>Consulting</v>
      </c>
      <c r="H148" s="5" t="str">
        <f t="array" ref="H148">_xlfn.XLOOKUP(B148,Engagement_Master!$A:$A,Engagement_Master!$D:$D,"NOT FOUND")</f>
        <v>Vikram Iyer</v>
      </c>
      <c r="I148" s="5">
        <f>SUMIFS(Collections!$D:$D,Collections!$B:$B,A148)</f>
        <v>0</v>
      </c>
      <c r="J148" s="5">
        <f t="shared" si="1"/>
        <v>1303000</v>
      </c>
      <c r="K148" s="5">
        <f>IF(J148="","",IF(J148&lt;=0,0,MAX(0,Control!$B$1-D148)))</f>
        <v>0</v>
      </c>
      <c r="L148" s="5" t="str">
        <f t="shared" si="2"/>
        <v>Not Due</v>
      </c>
      <c r="M148" s="5" t="str">
        <f t="shared" si="3"/>
        <v>2026-09</v>
      </c>
    </row>
    <row r="149">
      <c r="A149" s="5" t="str">
        <f>Invoices!A149</f>
        <v>INV-26-0020</v>
      </c>
      <c r="B149" s="5" t="str">
        <f>Invoices!B149</f>
        <v>ENG005</v>
      </c>
      <c r="C149" s="6">
        <f>Invoices!C149</f>
        <v>46275</v>
      </c>
      <c r="D149" s="6">
        <f>Invoices!D149</f>
        <v>46305</v>
      </c>
      <c r="E149" s="5">
        <f>IF(Invoices!E149="","",Invoices!E149)</f>
        <v>545000</v>
      </c>
      <c r="F149" s="5" t="str">
        <f t="array" ref="F149">_xlfn.XLOOKUP(B149,Engagement_Master!$A:$A,Engagement_Master!$B:$B,"NOT FOUND")</f>
        <v>Everest Infotech Pvt Ltd</v>
      </c>
      <c r="G149" s="5" t="str">
        <f t="array" ref="G149">_xlfn.XLOOKUP(B149,Engagement_Master!$A:$A,Engagement_Master!$C:$C,"NOT FOUND")</f>
        <v>Audit</v>
      </c>
      <c r="H149" s="5" t="str">
        <f t="array" ref="H149">_xlfn.XLOOKUP(B149,Engagement_Master!$A:$A,Engagement_Master!$D:$D,"NOT FOUND")</f>
        <v>Anil Mehta</v>
      </c>
      <c r="I149" s="5">
        <f>SUMIFS(Collections!$D:$D,Collections!$B:$B,A149)</f>
        <v>0</v>
      </c>
      <c r="J149" s="5">
        <f t="shared" si="1"/>
        <v>545000</v>
      </c>
      <c r="K149" s="5">
        <f>IF(J149="","",IF(J149&lt;=0,0,MAX(0,Control!$B$1-D149)))</f>
        <v>0</v>
      </c>
      <c r="L149" s="5" t="str">
        <f t="shared" si="2"/>
        <v>Not Due</v>
      </c>
      <c r="M149" s="5" t="str">
        <f t="shared" si="3"/>
        <v>2026-09</v>
      </c>
    </row>
    <row r="150">
      <c r="A150" s="5" t="str">
        <f>Invoices!A150</f>
        <v>INV-26-0024</v>
      </c>
      <c r="B150" s="5" t="str">
        <f>Invoices!B150</f>
        <v>ENG006</v>
      </c>
      <c r="C150" s="6">
        <f>Invoices!C150</f>
        <v>46275</v>
      </c>
      <c r="D150" s="6">
        <f>Invoices!D150</f>
        <v>46305</v>
      </c>
      <c r="E150" s="5">
        <f>IF(Invoices!E150="","",Invoices!E150)</f>
        <v>905000</v>
      </c>
      <c r="F150" s="5" t="str">
        <f t="array" ref="F150">_xlfn.XLOOKUP(B150,Engagement_Master!$A:$A,Engagement_Master!$B:$B,"NOT FOUND")</f>
        <v>Fulcrum Motors Ltd</v>
      </c>
      <c r="G150" s="5" t="str">
        <f t="array" ref="G150">_xlfn.XLOOKUP(B150,Engagement_Master!$A:$A,Engagement_Master!$C:$C,"NOT FOUND")</f>
        <v>Tax</v>
      </c>
      <c r="H150" s="5" t="str">
        <f t="array" ref="H150">_xlfn.XLOOKUP(B150,Engagement_Master!$A:$A,Engagement_Master!$D:$D,"NOT FOUND")</f>
        <v>Rohit Sharma</v>
      </c>
      <c r="I150" s="5">
        <f>SUMIFS(Collections!$D:$D,Collections!$B:$B,A150)</f>
        <v>0</v>
      </c>
      <c r="J150" s="5">
        <f t="shared" si="1"/>
        <v>905000</v>
      </c>
      <c r="K150" s="5">
        <f>IF(J150="","",IF(J150&lt;=0,0,MAX(0,Control!$B$1-D150)))</f>
        <v>0</v>
      </c>
      <c r="L150" s="5" t="str">
        <f t="shared" si="2"/>
        <v>Not Due</v>
      </c>
      <c r="M150" s="5" t="str">
        <f t="shared" si="3"/>
        <v>2026-09</v>
      </c>
    </row>
    <row r="151">
      <c r="A151" s="5" t="str">
        <f>Invoices!A151</f>
        <v>INV-26-0126</v>
      </c>
      <c r="B151" s="5" t="str">
        <f>Invoices!B151</f>
        <v>ENG031</v>
      </c>
      <c r="C151" s="6">
        <f>Invoices!C151</f>
        <v>46276</v>
      </c>
      <c r="D151" s="6">
        <f>Invoices!D151</f>
        <v>46336</v>
      </c>
      <c r="E151" s="5">
        <f>IF(Invoices!E151="","",Invoices!E151)</f>
        <v>1476000</v>
      </c>
      <c r="F151" s="5" t="str">
        <f t="array" ref="F151">_xlfn.XLOOKUP(B151,Engagement_Master!$A:$A,Engagement_Master!$B:$B,"NOT FOUND")</f>
        <v>Glacier Energy Ltd</v>
      </c>
      <c r="G151" s="5" t="str">
        <f t="array" ref="G151">_xlfn.XLOOKUP(B151,Engagement_Master!$A:$A,Engagement_Master!$C:$C,"NOT FOUND")</f>
        <v>Consulting</v>
      </c>
      <c r="H151" s="5" t="str">
        <f t="array" ref="H151">_xlfn.XLOOKUP(B151,Engagement_Master!$A:$A,Engagement_Master!$D:$D,"NOT FOUND")</f>
        <v>Priya Nair</v>
      </c>
      <c r="I151" s="5">
        <f>SUMIFS(Collections!$D:$D,Collections!$B:$B,A151)</f>
        <v>0</v>
      </c>
      <c r="J151" s="5">
        <f t="shared" si="1"/>
        <v>1476000</v>
      </c>
      <c r="K151" s="5">
        <f>IF(J151="","",IF(J151&lt;=0,0,MAX(0,Control!$B$1-D151)))</f>
        <v>0</v>
      </c>
      <c r="L151" s="5" t="str">
        <f t="shared" si="2"/>
        <v>Not Due</v>
      </c>
      <c r="M151" s="5" t="str">
        <f t="shared" si="3"/>
        <v>2026-09</v>
      </c>
    </row>
    <row r="152">
      <c r="A152" s="5" t="str">
        <f>Invoices!A152</f>
        <v>INV-26-0130</v>
      </c>
      <c r="B152" s="5" t="str">
        <f>Invoices!B152</f>
        <v>ENG032</v>
      </c>
      <c r="C152" s="6">
        <f>Invoices!C152</f>
        <v>46277</v>
      </c>
      <c r="D152" s="6">
        <f>Invoices!D152</f>
        <v>46307</v>
      </c>
      <c r="E152" s="5">
        <f>IF(Invoices!E152="","",Invoices!E152)</f>
        <v>723000</v>
      </c>
      <c r="F152" s="5" t="str">
        <f t="array" ref="F152">_xlfn.XLOOKUP(B152,Engagement_Master!$A:$A,Engagement_Master!$B:$B,"NOT FOUND")</f>
        <v>Harbor Foods Pvt Ltd</v>
      </c>
      <c r="G152" s="5" t="str">
        <f t="array" ref="G152">_xlfn.XLOOKUP(B152,Engagement_Master!$A:$A,Engagement_Master!$C:$C,"NOT FOUND")</f>
        <v>Risk Advisory</v>
      </c>
      <c r="H152" s="5" t="str">
        <f t="array" ref="H152">_xlfn.XLOOKUP(B152,Engagement_Master!$A:$A,Engagement_Master!$D:$D,"NOT FOUND")</f>
        <v>Meera Joshi</v>
      </c>
      <c r="I152" s="5">
        <f>SUMIFS(Collections!$D:$D,Collections!$B:$B,A152)</f>
        <v>0</v>
      </c>
      <c r="J152" s="5">
        <f t="shared" si="1"/>
        <v>723000</v>
      </c>
      <c r="K152" s="5">
        <f>IF(J152="","",IF(J152&lt;=0,0,MAX(0,Control!$B$1-D152)))</f>
        <v>0</v>
      </c>
      <c r="L152" s="5" t="str">
        <f t="shared" si="2"/>
        <v>Not Due</v>
      </c>
      <c r="M152" s="5" t="str">
        <f t="shared" si="3"/>
        <v>2026-09</v>
      </c>
    </row>
    <row r="153">
      <c r="A153" s="5" t="str">
        <f>Invoices!A153</f>
        <v>INV-26-0166</v>
      </c>
      <c r="B153" s="5" t="str">
        <f>Invoices!B153</f>
        <v>ENG040</v>
      </c>
      <c r="C153" s="6">
        <f>Invoices!C153</f>
        <v>46277</v>
      </c>
      <c r="D153" s="6">
        <f>Invoices!D153</f>
        <v>46307</v>
      </c>
      <c r="E153" s="5">
        <f>IF(Invoices!E153="","",Invoices!E153)</f>
        <v>795000</v>
      </c>
      <c r="F153" s="5" t="str">
        <f t="array" ref="F153">_xlfn.XLOOKUP(B153,Engagement_Master!$A:$A,Engagement_Master!$B:$B,"NOT FOUND")</f>
        <v>Pioneer Foods Pvt Ltd</v>
      </c>
      <c r="G153" s="5" t="str">
        <f t="array" ref="G153">_xlfn.XLOOKUP(B153,Engagement_Master!$A:$A,Engagement_Master!$C:$C,"NOT FOUND")</f>
        <v>Risk Advisory</v>
      </c>
      <c r="H153" s="5" t="str">
        <f t="array" ref="H153">_xlfn.XLOOKUP(B153,Engagement_Master!$A:$A,Engagement_Master!$D:$D,"NOT FOUND")</f>
        <v>Sanjay Gupta</v>
      </c>
      <c r="I153" s="5">
        <f>SUMIFS(Collections!$D:$D,Collections!$B:$B,A153)</f>
        <v>0</v>
      </c>
      <c r="J153" s="5">
        <f t="shared" si="1"/>
        <v>795000</v>
      </c>
      <c r="K153" s="5">
        <f>IF(J153="","",IF(J153&lt;=0,0,MAX(0,Control!$B$1-D153)))</f>
        <v>0</v>
      </c>
      <c r="L153" s="5" t="str">
        <f t="shared" si="2"/>
        <v>Not Due</v>
      </c>
      <c r="M153" s="5" t="str">
        <f t="shared" si="3"/>
        <v>2026-09</v>
      </c>
    </row>
    <row r="154">
      <c r="A154" s="5" t="str">
        <f>Invoices!A154</f>
        <v>INV-26-0050</v>
      </c>
      <c r="B154" s="5" t="str">
        <f>Invoices!B154</f>
        <v>ENG012</v>
      </c>
      <c r="C154" s="6">
        <f>Invoices!C154</f>
        <v>46278</v>
      </c>
      <c r="D154" s="6">
        <f>Invoices!D154</f>
        <v>46308</v>
      </c>
      <c r="E154" s="5">
        <f>IF(Invoices!E154="","",Invoices!E154)</f>
        <v>446000</v>
      </c>
      <c r="F154" s="5" t="str">
        <f t="array" ref="F154">_xlfn.XLOOKUP(B154,Engagement_Master!$A:$A,Engagement_Master!$B:$B,"NOT FOUND")</f>
        <v>Lotus Retail Ltd</v>
      </c>
      <c r="G154" s="5" t="str">
        <f t="array" ref="G154">_xlfn.XLOOKUP(B154,Engagement_Master!$A:$A,Engagement_Master!$C:$C,"NOT FOUND")</f>
        <v>Risk Advisory</v>
      </c>
      <c r="H154" s="5" t="str">
        <f t="array" ref="H154">_xlfn.XLOOKUP(B154,Engagement_Master!$A:$A,Engagement_Master!$D:$D,"NOT FOUND")</f>
        <v>Meera Joshi</v>
      </c>
      <c r="I154" s="5">
        <f>SUMIFS(Collections!$D:$D,Collections!$B:$B,A154)</f>
        <v>0</v>
      </c>
      <c r="J154" s="5">
        <f t="shared" si="1"/>
        <v>446000</v>
      </c>
      <c r="K154" s="5">
        <f>IF(J154="","",IF(J154&lt;=0,0,MAX(0,Control!$B$1-D154)))</f>
        <v>0</v>
      </c>
      <c r="L154" s="5" t="str">
        <f t="shared" si="2"/>
        <v>Not Due</v>
      </c>
      <c r="M154" s="5" t="str">
        <f t="shared" si="3"/>
        <v>2026-09</v>
      </c>
    </row>
    <row r="155">
      <c r="A155" s="5" t="str">
        <f>Invoices!A155</f>
        <v>INV-26-0106</v>
      </c>
      <c r="B155" s="5" t="str">
        <f>Invoices!B155</f>
        <v>ENG026</v>
      </c>
      <c r="C155" s="6">
        <f>Invoices!C155</f>
        <v>46280</v>
      </c>
      <c r="D155" s="6">
        <f>Invoices!D155</f>
        <v>46340</v>
      </c>
      <c r="E155" s="5">
        <f>IF(Invoices!E155="","",Invoices!E155)</f>
        <v>1232000</v>
      </c>
      <c r="F155" s="5" t="str">
        <f t="array" ref="F155">_xlfn.XLOOKUP(B155,Engagement_Master!$A:$A,Engagement_Master!$B:$B,"NOT FOUND")</f>
        <v>Banyan Pharma Pvt Ltd</v>
      </c>
      <c r="G155" s="5" t="str">
        <f t="array" ref="G155">_xlfn.XLOOKUP(B155,Engagement_Master!$A:$A,Engagement_Master!$C:$C,"NOT FOUND")</f>
        <v>Tax</v>
      </c>
      <c r="H155" s="5" t="str">
        <f t="array" ref="H155">_xlfn.XLOOKUP(B155,Engagement_Master!$A:$A,Engagement_Master!$D:$D,"NOT FOUND")</f>
        <v>Neha Kapoor</v>
      </c>
      <c r="I155" s="5">
        <f>SUMIFS(Collections!$D:$D,Collections!$B:$B,A155)</f>
        <v>0</v>
      </c>
      <c r="J155" s="5">
        <f t="shared" si="1"/>
        <v>1232000</v>
      </c>
      <c r="K155" s="5">
        <f>IF(J155="","",IF(J155&lt;=0,0,MAX(0,Control!$B$1-D155)))</f>
        <v>0</v>
      </c>
      <c r="L155" s="5" t="str">
        <f t="shared" si="2"/>
        <v>Not Due</v>
      </c>
      <c r="M155" s="5" t="str">
        <f t="shared" si="3"/>
        <v>2026-09</v>
      </c>
    </row>
    <row r="156">
      <c r="A156" s="5" t="str">
        <f>Invoices!A156</f>
        <v>INV-26-0033</v>
      </c>
      <c r="B156" s="5" t="str">
        <f>Invoices!B156</f>
        <v>ENG008</v>
      </c>
      <c r="C156" s="6">
        <f>Invoices!C156</f>
        <v>46280</v>
      </c>
      <c r="D156" s="6">
        <f>Invoices!D156</f>
        <v>46325</v>
      </c>
      <c r="E156" s="5">
        <f>IF(Invoices!E156="","",Invoices!E156)</f>
        <v>1045000</v>
      </c>
      <c r="F156" s="5" t="str">
        <f t="array" ref="F156">_xlfn.XLOOKUP(B156,Engagement_Master!$A:$A,Engagement_Master!$B:$B,"NOT FOUND")</f>
        <v>Horizon Foods Pvt Ltd</v>
      </c>
      <c r="G156" s="5" t="str">
        <f t="array" ref="G156">_xlfn.XLOOKUP(B156,Engagement_Master!$A:$A,Engagement_Master!$C:$C,"NOT FOUND")</f>
        <v>Risk Advisory</v>
      </c>
      <c r="H156" s="5" t="str">
        <f t="array" ref="H156">_xlfn.XLOOKUP(B156,Engagement_Master!$A:$A,Engagement_Master!$D:$D,"NOT FOUND")</f>
        <v>Sanjay Gupta</v>
      </c>
      <c r="I156" s="5">
        <f>SUMIFS(Collections!$D:$D,Collections!$B:$B,A156)</f>
        <v>0</v>
      </c>
      <c r="J156" s="5">
        <f t="shared" si="1"/>
        <v>1045000</v>
      </c>
      <c r="K156" s="5">
        <f>IF(J156="","",IF(J156&lt;=0,0,MAX(0,Control!$B$1-D156)))</f>
        <v>0</v>
      </c>
      <c r="L156" s="5" t="str">
        <f t="shared" si="2"/>
        <v>Not Due</v>
      </c>
      <c r="M156" s="5" t="str">
        <f t="shared" si="3"/>
        <v>2026-09</v>
      </c>
    </row>
    <row r="157">
      <c r="A157" s="5" t="str">
        <f>Invoices!A157</f>
        <v>INV-26-0078</v>
      </c>
      <c r="B157" s="5" t="str">
        <f>Invoices!B157</f>
        <v>ENG019</v>
      </c>
      <c r="C157" s="6">
        <f>Invoices!C157</f>
        <v>46281</v>
      </c>
      <c r="D157" s="6">
        <f>Invoices!D157</f>
        <v>46341</v>
      </c>
      <c r="E157" s="5">
        <f>IF(Invoices!E157="","",Invoices!E157)</f>
        <v>1572000</v>
      </c>
      <c r="F157" s="5" t="str">
        <f t="array" ref="F157">_xlfn.XLOOKUP(B157,Engagement_Master!$A:$A,Engagement_Master!$B:$B,"NOT FOUND")</f>
        <v>Saffron Finance Ltd</v>
      </c>
      <c r="G157" s="5" t="str">
        <f t="array" ref="G157">_xlfn.XLOOKUP(B157,Engagement_Master!$A:$A,Engagement_Master!$C:$C,"NOT FOUND")</f>
        <v>Consulting</v>
      </c>
      <c r="H157" s="5" t="str">
        <f t="array" ref="H157">_xlfn.XLOOKUP(B157,Engagement_Master!$A:$A,Engagement_Master!$D:$D,"NOT FOUND")</f>
        <v>Priya Nair</v>
      </c>
      <c r="I157" s="5">
        <f>SUMIFS(Collections!$D:$D,Collections!$B:$B,A157)</f>
        <v>0</v>
      </c>
      <c r="J157" s="5">
        <f t="shared" si="1"/>
        <v>1572000</v>
      </c>
      <c r="K157" s="5">
        <f>IF(J157="","",IF(J157&lt;=0,0,MAX(0,Control!$B$1-D157)))</f>
        <v>0</v>
      </c>
      <c r="L157" s="5" t="str">
        <f t="shared" si="2"/>
        <v>Not Due</v>
      </c>
      <c r="M157" s="5" t="str">
        <f t="shared" si="3"/>
        <v>2026-09</v>
      </c>
    </row>
    <row r="158">
      <c r="A158" s="5" t="str">
        <f>Invoices!A158</f>
        <v>INV-26-0065</v>
      </c>
      <c r="B158" s="5" t="str">
        <f>Invoices!B158</f>
        <v>ENG016</v>
      </c>
      <c r="C158" s="6">
        <f>Invoices!C158</f>
        <v>46281</v>
      </c>
      <c r="D158" s="6">
        <f>Invoices!D158</f>
        <v>46311</v>
      </c>
      <c r="E158" s="5">
        <f>IF(Invoices!E158="","",Invoices!E158)</f>
        <v>667000</v>
      </c>
      <c r="F158" s="5" t="str">
        <f t="array" ref="F158">_xlfn.XLOOKUP(B158,Engagement_Master!$A:$A,Engagement_Master!$B:$B,"NOT FOUND")</f>
        <v>Pinnacle Foods Pvt Ltd</v>
      </c>
      <c r="G158" s="5" t="str">
        <f t="array" ref="G158">_xlfn.XLOOKUP(B158,Engagement_Master!$A:$A,Engagement_Master!$C:$C,"NOT FOUND")</f>
        <v>Risk Advisory</v>
      </c>
      <c r="H158" s="5" t="str">
        <f t="array" ref="H158">_xlfn.XLOOKUP(B158,Engagement_Master!$A:$A,Engagement_Master!$D:$D,"NOT FOUND")</f>
        <v>Sanjay Gupta</v>
      </c>
      <c r="I158" s="5">
        <f>SUMIFS(Collections!$D:$D,Collections!$B:$B,A158)</f>
        <v>0</v>
      </c>
      <c r="J158" s="5">
        <f t="shared" si="1"/>
        <v>667000</v>
      </c>
      <c r="K158" s="5">
        <f>IF(J158="","",IF(J158&lt;=0,0,MAX(0,Control!$B$1-D158)))</f>
        <v>0</v>
      </c>
      <c r="L158" s="5" t="str">
        <f t="shared" si="2"/>
        <v>Not Due</v>
      </c>
      <c r="M158" s="5" t="str">
        <f t="shared" si="3"/>
        <v>2026-09</v>
      </c>
    </row>
    <row r="159">
      <c r="A159" s="5" t="str">
        <f>Invoices!A159</f>
        <v>INV-26-0074</v>
      </c>
      <c r="B159" s="5" t="str">
        <f>Invoices!B159</f>
        <v>ENG018</v>
      </c>
      <c r="C159" s="6">
        <f>Invoices!C159</f>
        <v>46284</v>
      </c>
      <c r="D159" s="6">
        <f>Invoices!D159</f>
        <v>46314</v>
      </c>
      <c r="E159" s="5">
        <f>IF(Invoices!E159="","",Invoices!E159)</f>
        <v>1568000</v>
      </c>
      <c r="F159" s="5" t="str">
        <f t="array" ref="F159">_xlfn.XLOOKUP(B159,Engagement_Master!$A:$A,Engagement_Master!$B:$B,"NOT FOUND")</f>
        <v>Redwood Pharma Pvt Ltd</v>
      </c>
      <c r="G159" s="5" t="str">
        <f t="array" ref="G159">_xlfn.XLOOKUP(B159,Engagement_Master!$A:$A,Engagement_Master!$C:$C,"NOT FOUND")</f>
        <v>Tax</v>
      </c>
      <c r="H159" s="5" t="str">
        <f t="array" ref="H159">_xlfn.XLOOKUP(B159,Engagement_Master!$A:$A,Engagement_Master!$D:$D,"NOT FOUND")</f>
        <v>Neha Kapoor</v>
      </c>
      <c r="I159" s="5">
        <f>SUMIFS(Collections!$D:$D,Collections!$B:$B,A159)</f>
        <v>0</v>
      </c>
      <c r="J159" s="5">
        <f t="shared" si="1"/>
        <v>1568000</v>
      </c>
      <c r="K159" s="5">
        <f>IF(J159="","",IF(J159&lt;=0,0,MAX(0,Control!$B$1-D159)))</f>
        <v>0</v>
      </c>
      <c r="L159" s="5" t="str">
        <f t="shared" si="2"/>
        <v>Not Due</v>
      </c>
      <c r="M159" s="5" t="str">
        <f t="shared" si="3"/>
        <v>2026-09</v>
      </c>
    </row>
    <row r="160">
      <c r="A160" s="5" t="str">
        <f>Invoices!A160</f>
        <v>INV-26-0118</v>
      </c>
      <c r="B160" s="5" t="str">
        <f>Invoices!B160</f>
        <v>ENG029</v>
      </c>
      <c r="C160" s="6">
        <f>Invoices!C160</f>
        <v>46285</v>
      </c>
      <c r="D160" s="6">
        <f>Invoices!D160</f>
        <v>46315</v>
      </c>
      <c r="E160" s="5">
        <f>IF(Invoices!E160="","",Invoices!E160)</f>
        <v>856000</v>
      </c>
      <c r="F160" s="5" t="str">
        <f t="array" ref="F160">_xlfn.XLOOKUP(B160,Engagement_Master!$A:$A,Engagement_Master!$B:$B,"NOT FOUND")</f>
        <v>Ember Infotech Pvt Ltd</v>
      </c>
      <c r="G160" s="5" t="str">
        <f t="array" ref="G160">_xlfn.XLOOKUP(B160,Engagement_Master!$A:$A,Engagement_Master!$C:$C,"NOT FOUND")</f>
        <v>Audit</v>
      </c>
      <c r="H160" s="5" t="str">
        <f t="array" ref="H160">_xlfn.XLOOKUP(B160,Engagement_Master!$A:$A,Engagement_Master!$D:$D,"NOT FOUND")</f>
        <v>Kavita Rao</v>
      </c>
      <c r="I160" s="5">
        <f>SUMIFS(Collections!$D:$D,Collections!$B:$B,A160)</f>
        <v>0</v>
      </c>
      <c r="J160" s="5">
        <f t="shared" si="1"/>
        <v>856000</v>
      </c>
      <c r="K160" s="5">
        <f>IF(J160="","",IF(J160&lt;=0,0,MAX(0,Control!$B$1-D160)))</f>
        <v>0</v>
      </c>
      <c r="L160" s="5" t="str">
        <f t="shared" si="2"/>
        <v>Not Due</v>
      </c>
      <c r="M160" s="5" t="str">
        <f t="shared" si="3"/>
        <v>2026-09</v>
      </c>
    </row>
    <row r="161">
      <c r="A161" s="5" t="str">
        <f>Invoices!A161</f>
        <v>INV-26-0161</v>
      </c>
      <c r="B161" s="5" t="str">
        <f>Invoices!B161</f>
        <v>ENG039</v>
      </c>
      <c r="C161" s="6">
        <f>Invoices!C161</f>
        <v>46286</v>
      </c>
      <c r="D161" s="6">
        <f>Invoices!D161</f>
        <v>46346</v>
      </c>
      <c r="E161" s="5">
        <f>IF(Invoices!E161="","",Invoices!E161)</f>
        <v>715000</v>
      </c>
      <c r="F161" s="5" t="str">
        <f t="array" ref="F161">_xlfn.XLOOKUP(B161,Engagement_Master!$A:$A,Engagement_Master!$B:$B,"NOT FOUND")</f>
        <v>Opal Energy Ltd</v>
      </c>
      <c r="G161" s="5" t="str">
        <f t="array" ref="G161">_xlfn.XLOOKUP(B161,Engagement_Master!$A:$A,Engagement_Master!$C:$C,"NOT FOUND")</f>
        <v>Consulting</v>
      </c>
      <c r="H161" s="5" t="str">
        <f t="array" ref="H161">_xlfn.XLOOKUP(B161,Engagement_Master!$A:$A,Engagement_Master!$D:$D,"NOT FOUND")</f>
        <v>Vikram Iyer</v>
      </c>
      <c r="I161" s="5">
        <f>SUMIFS(Collections!$D:$D,Collections!$B:$B,A161)</f>
        <v>0</v>
      </c>
      <c r="J161" s="5">
        <f t="shared" si="1"/>
        <v>715000</v>
      </c>
      <c r="K161" s="5">
        <f>IF(J161="","",IF(J161&lt;=0,0,MAX(0,Control!$B$1-D161)))</f>
        <v>0</v>
      </c>
      <c r="L161" s="5" t="str">
        <f t="shared" si="2"/>
        <v>Not Due</v>
      </c>
      <c r="M161" s="5" t="str">
        <f t="shared" si="3"/>
        <v>2026-09</v>
      </c>
    </row>
    <row r="162">
      <c r="A162" s="5" t="str">
        <f>Invoices!A162</f>
        <v>INV-26-0046</v>
      </c>
      <c r="B162" s="5" t="str">
        <f>Invoices!B162</f>
        <v>ENG011</v>
      </c>
      <c r="C162" s="6">
        <f>Invoices!C162</f>
        <v>46287</v>
      </c>
      <c r="D162" s="6">
        <f>Invoices!D162</f>
        <v>46317</v>
      </c>
      <c r="E162" s="5">
        <f>IF(Invoices!E162="","",Invoices!E162)</f>
        <v>675000</v>
      </c>
      <c r="F162" s="5" t="str">
        <f t="array" ref="F162">_xlfn.XLOOKUP(B162,Engagement_Master!$A:$A,Engagement_Master!$B:$B,"NOT FOUND")</f>
        <v>Kestrel Finance Ltd</v>
      </c>
      <c r="G162" s="5" t="str">
        <f t="array" ref="G162">_xlfn.XLOOKUP(B162,Engagement_Master!$A:$A,Engagement_Master!$C:$C,"NOT FOUND")</f>
        <v>Consulting</v>
      </c>
      <c r="H162" s="5" t="str">
        <f t="array" ref="H162">_xlfn.XLOOKUP(B162,Engagement_Master!$A:$A,Engagement_Master!$D:$D,"NOT FOUND")</f>
        <v>Vikram Iyer</v>
      </c>
      <c r="I162" s="5">
        <f>SUMIFS(Collections!$D:$D,Collections!$B:$B,A162)</f>
        <v>0</v>
      </c>
      <c r="J162" s="5">
        <f t="shared" si="1"/>
        <v>675000</v>
      </c>
      <c r="K162" s="5">
        <f>IF(J162="","",IF(J162&lt;=0,0,MAX(0,Control!$B$1-D162)))</f>
        <v>0</v>
      </c>
      <c r="L162" s="5" t="str">
        <f t="shared" si="2"/>
        <v>Not Due</v>
      </c>
      <c r="M162" s="5" t="str">
        <f t="shared" si="3"/>
        <v>2026-09</v>
      </c>
    </row>
    <row r="163">
      <c r="A163" s="5" t="str">
        <f>Invoices!A163</f>
        <v>INV-26-0135</v>
      </c>
      <c r="B163" s="5" t="str">
        <f>Invoices!B163</f>
        <v>ENG033</v>
      </c>
      <c r="C163" s="6">
        <f>Invoices!C163</f>
        <v>46287</v>
      </c>
      <c r="D163" s="6">
        <f>Invoices!D163</f>
        <v>46317</v>
      </c>
      <c r="E163" s="5">
        <f>IF(Invoices!E163="","",Invoices!E163)</f>
        <v>536000</v>
      </c>
      <c r="F163" s="5" t="str">
        <f t="array" ref="F163">_xlfn.XLOOKUP(B163,Engagement_Master!$A:$A,Engagement_Master!$B:$B,"NOT FOUND")</f>
        <v>Ivory Industries Ltd</v>
      </c>
      <c r="G163" s="5" t="str">
        <f t="array" ref="G163">_xlfn.XLOOKUP(B163,Engagement_Master!$A:$A,Engagement_Master!$C:$C,"NOT FOUND")</f>
        <v>Audit</v>
      </c>
      <c r="H163" s="5" t="str">
        <f t="array" ref="H163">_xlfn.XLOOKUP(B163,Engagement_Master!$A:$A,Engagement_Master!$D:$D,"NOT FOUND")</f>
        <v>Anil Mehta</v>
      </c>
      <c r="I163" s="5">
        <f>SUMIFS(Collections!$D:$D,Collections!$B:$B,A163)</f>
        <v>0</v>
      </c>
      <c r="J163" s="5">
        <f t="shared" si="1"/>
        <v>536000</v>
      </c>
      <c r="K163" s="5">
        <f>IF(J163="","",IF(J163&lt;=0,0,MAX(0,Control!$B$1-D163)))</f>
        <v>0</v>
      </c>
      <c r="L163" s="5" t="str">
        <f t="shared" si="2"/>
        <v>Not Due</v>
      </c>
      <c r="M163" s="5" t="str">
        <f t="shared" si="3"/>
        <v>2026-09</v>
      </c>
    </row>
    <row r="164">
      <c r="A164" s="5" t="str">
        <f>Invoices!A164</f>
        <v>INV-26-0005</v>
      </c>
      <c r="B164" s="5" t="str">
        <f>Invoices!B164</f>
        <v>ENG001</v>
      </c>
      <c r="C164" s="6">
        <f>Invoices!C164</f>
        <v>46287</v>
      </c>
      <c r="D164" s="6">
        <f>Invoices!D164</f>
        <v>46317</v>
      </c>
      <c r="E164" s="5">
        <f>IF(Invoices!E164="","",Invoices!E164)</f>
        <v>262000</v>
      </c>
      <c r="F164" s="5" t="str">
        <f t="array" ref="F164">_xlfn.XLOOKUP(B164,Engagement_Master!$A:$A,Engagement_Master!$B:$B,"NOT FOUND")</f>
        <v>Arcadia Industries Ltd</v>
      </c>
      <c r="G164" s="5" t="str">
        <f t="array" ref="G164">_xlfn.XLOOKUP(B164,Engagement_Master!$A:$A,Engagement_Master!$C:$C,"NOT FOUND")</f>
        <v>Audit</v>
      </c>
      <c r="H164" s="5" t="str">
        <f t="array" ref="H164">_xlfn.XLOOKUP(B164,Engagement_Master!$A:$A,Engagement_Master!$D:$D,"NOT FOUND")</f>
        <v>Anil Mehta</v>
      </c>
      <c r="I164" s="5">
        <f>SUMIFS(Collections!$D:$D,Collections!$B:$B,A164)</f>
        <v>0</v>
      </c>
      <c r="J164" s="5">
        <f t="shared" si="1"/>
        <v>262000</v>
      </c>
      <c r="K164" s="5">
        <f>IF(J164="","",IF(J164&lt;=0,0,MAX(0,Control!$B$1-D164)))</f>
        <v>0</v>
      </c>
      <c r="L164" s="5" t="str">
        <f t="shared" si="2"/>
        <v>Not Due</v>
      </c>
      <c r="M164" s="5" t="str">
        <f t="shared" si="3"/>
        <v>2026-09</v>
      </c>
    </row>
    <row r="165">
      <c r="A165" s="5" t="str">
        <f>Invoices!A165</f>
        <v>INV-26-0144</v>
      </c>
      <c r="B165" s="5" t="str">
        <f>Invoices!B165</f>
        <v>ENG035</v>
      </c>
      <c r="C165" s="6">
        <f>Invoices!C165</f>
        <v>46288</v>
      </c>
      <c r="D165" s="6">
        <f>Invoices!D165</f>
        <v>46348</v>
      </c>
      <c r="E165" s="5">
        <f>IF(Invoices!E165="","",Invoices!E165)</f>
        <v>303000</v>
      </c>
      <c r="F165" s="5" t="str">
        <f t="array" ref="F165">_xlfn.XLOOKUP(B165,Engagement_Master!$A:$A,Engagement_Master!$B:$B,"NOT FOUND")</f>
        <v>Krypton Finance Ltd</v>
      </c>
      <c r="G165" s="5" t="str">
        <f t="array" ref="G165">_xlfn.XLOOKUP(B165,Engagement_Master!$A:$A,Engagement_Master!$C:$C,"NOT FOUND")</f>
        <v>Consulting</v>
      </c>
      <c r="H165" s="5" t="str">
        <f t="array" ref="H165">_xlfn.XLOOKUP(B165,Engagement_Master!$A:$A,Engagement_Master!$D:$D,"NOT FOUND")</f>
        <v>Priya Nair</v>
      </c>
      <c r="I165" s="5">
        <f>SUMIFS(Collections!$D:$D,Collections!$B:$B,A165)</f>
        <v>0</v>
      </c>
      <c r="J165" s="5">
        <f t="shared" si="1"/>
        <v>303000</v>
      </c>
      <c r="K165" s="5">
        <f>IF(J165="","",IF(J165&lt;=0,0,MAX(0,Control!$B$1-D165)))</f>
        <v>0</v>
      </c>
      <c r="L165" s="5" t="str">
        <f t="shared" si="2"/>
        <v>Not Due</v>
      </c>
      <c r="M165" s="5" t="str">
        <f t="shared" si="3"/>
        <v>2026-09</v>
      </c>
    </row>
    <row r="166">
      <c r="A166" s="5" t="str">
        <f>Invoices!A166</f>
        <v>INV-26-0087</v>
      </c>
      <c r="B166" s="5" t="str">
        <f>Invoices!B166</f>
        <v>ENG021</v>
      </c>
      <c r="C166" s="6">
        <f>Invoices!C166</f>
        <v>46289</v>
      </c>
      <c r="D166" s="6">
        <f>Invoices!D166</f>
        <v>46334</v>
      </c>
      <c r="E166" s="5">
        <f>IF(Invoices!E166="","",Invoices!E166)</f>
        <v>494000</v>
      </c>
      <c r="F166" s="5" t="str">
        <f t="array" ref="F166">_xlfn.XLOOKUP(B166,Engagement_Master!$A:$A,Engagement_Master!$B:$B,"NOT FOUND")</f>
        <v>Unity Infotech Pvt Ltd</v>
      </c>
      <c r="G166" s="5" t="str">
        <f t="array" ref="G166">_xlfn.XLOOKUP(B166,Engagement_Master!$A:$A,Engagement_Master!$C:$C,"NOT FOUND")</f>
        <v>Audit</v>
      </c>
      <c r="H166" s="5" t="str">
        <f t="array" ref="H166">_xlfn.XLOOKUP(B166,Engagement_Master!$A:$A,Engagement_Master!$D:$D,"NOT FOUND")</f>
        <v>Anil Mehta</v>
      </c>
      <c r="I166" s="5">
        <f>SUMIFS(Collections!$D:$D,Collections!$B:$B,A166)</f>
        <v>0</v>
      </c>
      <c r="J166" s="5">
        <f t="shared" si="1"/>
        <v>494000</v>
      </c>
      <c r="K166" s="5">
        <f>IF(J166="","",IF(J166&lt;=0,0,MAX(0,Control!$B$1-D166)))</f>
        <v>0</v>
      </c>
      <c r="L166" s="5" t="str">
        <f t="shared" si="2"/>
        <v>Not Due</v>
      </c>
      <c r="M166" s="5" t="str">
        <f t="shared" si="3"/>
        <v>2026-09</v>
      </c>
    </row>
    <row r="167">
      <c r="A167" s="5" t="str">
        <f>Invoices!A167</f>
        <v>INV-26-0094</v>
      </c>
      <c r="B167" s="5" t="str">
        <f>Invoices!B167</f>
        <v>ENG023</v>
      </c>
      <c r="C167" s="6">
        <f>Invoices!C167</f>
        <v>46290</v>
      </c>
      <c r="D167" s="6">
        <f>Invoices!D167</f>
        <v>46350</v>
      </c>
      <c r="E167" s="5">
        <f>IF(Invoices!E167="","",Invoices!E167)</f>
        <v>213000</v>
      </c>
      <c r="F167" s="5" t="str">
        <f t="array" ref="F167">_xlfn.XLOOKUP(B167,Engagement_Master!$A:$A,Engagement_Master!$B:$B,"NOT FOUND")</f>
        <v>Westbrook Energy Ltd</v>
      </c>
      <c r="G167" s="5" t="str">
        <f t="array" ref="G167">_xlfn.XLOOKUP(B167,Engagement_Master!$A:$A,Engagement_Master!$C:$C,"NOT FOUND")</f>
        <v>Consulting</v>
      </c>
      <c r="H167" s="5" t="str">
        <f t="array" ref="H167">_xlfn.XLOOKUP(B167,Engagement_Master!$A:$A,Engagement_Master!$D:$D,"NOT FOUND")</f>
        <v>Priya Nair</v>
      </c>
      <c r="I167" s="5">
        <f>SUMIFS(Collections!$D:$D,Collections!$B:$B,A167)</f>
        <v>0</v>
      </c>
      <c r="J167" s="5">
        <f t="shared" si="1"/>
        <v>213000</v>
      </c>
      <c r="K167" s="5">
        <f>IF(J167="","",IF(J167&lt;=0,0,MAX(0,Control!$B$1-D167)))</f>
        <v>0</v>
      </c>
      <c r="L167" s="5" t="str">
        <f t="shared" si="2"/>
        <v>Not Due</v>
      </c>
      <c r="M167" s="5" t="str">
        <f t="shared" si="3"/>
        <v>2026-09</v>
      </c>
    </row>
    <row r="168">
      <c r="A168" s="5" t="str">
        <f>Invoices!A168</f>
        <v>INV-26-0152</v>
      </c>
      <c r="B168" s="5" t="str">
        <f>Invoices!B168</f>
        <v>ENG037</v>
      </c>
      <c r="C168" s="6">
        <f>Invoices!C168</f>
        <v>46290</v>
      </c>
      <c r="D168" s="6">
        <f>Invoices!D168</f>
        <v>46335</v>
      </c>
      <c r="E168" s="5">
        <f>IF(Invoices!E168="","",Invoices!E168)</f>
        <v>575000</v>
      </c>
      <c r="F168" s="5" t="str">
        <f t="array" ref="F168">_xlfn.XLOOKUP(B168,Engagement_Master!$A:$A,Engagement_Master!$B:$B,"NOT FOUND")</f>
        <v>Monsoon Infotech Pvt Ltd</v>
      </c>
      <c r="G168" s="5" t="str">
        <f t="array" ref="G168">_xlfn.XLOOKUP(B168,Engagement_Master!$A:$A,Engagement_Master!$C:$C,"NOT FOUND")</f>
        <v>Audit</v>
      </c>
      <c r="H168" s="5" t="str">
        <f t="array" ref="H168">_xlfn.XLOOKUP(B168,Engagement_Master!$A:$A,Engagement_Master!$D:$D,"NOT FOUND")</f>
        <v>Kavita Rao</v>
      </c>
      <c r="I168" s="5">
        <f>SUMIFS(Collections!$D:$D,Collections!$B:$B,A168)</f>
        <v>0</v>
      </c>
      <c r="J168" s="5">
        <f t="shared" si="1"/>
        <v>575000</v>
      </c>
      <c r="K168" s="5">
        <f>IF(J168="","",IF(J168&lt;=0,0,MAX(0,Control!$B$1-D168)))</f>
        <v>0</v>
      </c>
      <c r="L168" s="5" t="str">
        <f t="shared" si="2"/>
        <v>Not Due</v>
      </c>
      <c r="M168" s="5" t="str">
        <f t="shared" si="3"/>
        <v>2026-09</v>
      </c>
    </row>
    <row r="169">
      <c r="A169" s="5" t="str">
        <f>Invoices!A169</f>
        <v>INV-26-0101</v>
      </c>
      <c r="B169" s="5" t="str">
        <f>Invoices!B169</f>
        <v>ENG025</v>
      </c>
      <c r="C169" s="6">
        <f>Invoices!C169</f>
        <v>46291</v>
      </c>
      <c r="D169" s="6">
        <f>Invoices!D169</f>
        <v>46321</v>
      </c>
      <c r="E169" s="5">
        <f>IF(Invoices!E169="","",Invoices!E169)</f>
        <v>845000</v>
      </c>
      <c r="F169" s="5" t="str">
        <f t="array" ref="F169">_xlfn.XLOOKUP(B169,Engagement_Master!$A:$A,Engagement_Master!$B:$B,"NOT FOUND")</f>
        <v>Aurora Industries Ltd</v>
      </c>
      <c r="G169" s="5" t="str">
        <f t="array" ref="G169">_xlfn.XLOOKUP(B169,Engagement_Master!$A:$A,Engagement_Master!$C:$C,"NOT FOUND")</f>
        <v>Audit</v>
      </c>
      <c r="H169" s="5" t="str">
        <f t="array" ref="H169">_xlfn.XLOOKUP(B169,Engagement_Master!$A:$A,Engagement_Master!$D:$D,"NOT FOUND")</f>
        <v>Anil Mehta</v>
      </c>
      <c r="I169" s="5">
        <f>SUMIFS(Collections!$D:$D,Collections!$B:$B,A169)</f>
        <v>0</v>
      </c>
      <c r="J169" s="5">
        <f t="shared" si="1"/>
        <v>845000</v>
      </c>
      <c r="K169" s="5">
        <f>IF(J169="","",IF(J169&lt;=0,0,MAX(0,Control!$B$1-D169)))</f>
        <v>0</v>
      </c>
      <c r="L169" s="5" t="str">
        <f t="shared" si="2"/>
        <v>Not Due</v>
      </c>
      <c r="M169" s="5" t="str">
        <f t="shared" si="3"/>
        <v>2026-09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</cols>
  <sheetData>
    <row r="1"/>
    <row r="2"/>
    <row r="3"/>
    <row r="4"/>
    <row r="5"/>
    <row r="6"/>
    <row r="7"/>
    <row r="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1" t="s">
        <v>520</v>
      </c>
      <c r="B1" s="10" t="s">
        <v>477</v>
      </c>
      <c r="C1" s="10"/>
      <c r="D1" s="10"/>
      <c r="E1" s="10"/>
      <c r="F1" s="10"/>
      <c r="G1" s="10"/>
    </row>
    <row r="2">
      <c r="A2" s="12" t="s">
        <v>10</v>
      </c>
      <c r="B2" s="12" t="s">
        <v>497</v>
      </c>
      <c r="C2" s="12" t="s">
        <v>498</v>
      </c>
      <c r="D2" s="12" t="s">
        <v>499</v>
      </c>
      <c r="E2" s="12" t="s">
        <v>500</v>
      </c>
      <c r="F2" s="12" t="s">
        <v>501</v>
      </c>
      <c r="G2" s="12" t="s">
        <v>502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25</v>
      </c>
      <c r="B3" s="10">
        <v>3937000.0</v>
      </c>
      <c r="C3" s="10">
        <v>3109000.0</v>
      </c>
      <c r="D3" s="10">
        <v>397000.0</v>
      </c>
      <c r="E3" s="10">
        <v>466000.0</v>
      </c>
      <c r="F3" s="10">
        <v>5199000.0</v>
      </c>
      <c r="G3" s="10">
        <v>1.3108E7</v>
      </c>
    </row>
    <row r="4">
      <c r="A4" s="10" t="s">
        <v>43</v>
      </c>
      <c r="B4" s="10">
        <v>6968000.0</v>
      </c>
      <c r="C4" s="10">
        <v>4647000.0</v>
      </c>
      <c r="D4" s="10">
        <v>1900000.0</v>
      </c>
      <c r="E4" s="10">
        <v>948000.0</v>
      </c>
      <c r="F4" s="10">
        <v>1.1465E7</v>
      </c>
      <c r="G4" s="10">
        <v>2.5928E7</v>
      </c>
    </row>
    <row r="5">
      <c r="A5" s="10" t="s">
        <v>504</v>
      </c>
      <c r="B5" s="10">
        <v>450000.0</v>
      </c>
      <c r="C5" s="10"/>
      <c r="D5" s="10"/>
      <c r="E5" s="10"/>
      <c r="F5" s="10"/>
      <c r="G5" s="10">
        <v>450000.0</v>
      </c>
    </row>
    <row r="6">
      <c r="A6" s="10" t="s">
        <v>50</v>
      </c>
      <c r="B6" s="10">
        <v>3396000.0</v>
      </c>
      <c r="C6" s="10">
        <v>1157000.0</v>
      </c>
      <c r="D6" s="10">
        <v>781000.0</v>
      </c>
      <c r="E6" s="10">
        <v>227000.0</v>
      </c>
      <c r="F6" s="10">
        <v>3676000.0</v>
      </c>
      <c r="G6" s="10">
        <v>9237000.0</v>
      </c>
    </row>
    <row r="7">
      <c r="A7" s="10" t="s">
        <v>35</v>
      </c>
      <c r="B7" s="10">
        <v>960000.0</v>
      </c>
      <c r="C7" s="10">
        <v>1967000.0</v>
      </c>
      <c r="D7" s="10">
        <v>1349000.0</v>
      </c>
      <c r="E7" s="10">
        <v>523000.0</v>
      </c>
      <c r="F7" s="10">
        <v>6382000.0</v>
      </c>
      <c r="G7" s="10">
        <v>1.1181E7</v>
      </c>
    </row>
    <row r="8">
      <c r="A8" s="10" t="s">
        <v>502</v>
      </c>
      <c r="B8" s="10">
        <v>1.5711E7</v>
      </c>
      <c r="C8" s="10">
        <v>1.088E7</v>
      </c>
      <c r="D8" s="10">
        <v>4427000.0</v>
      </c>
      <c r="E8" s="10">
        <v>2164000.0</v>
      </c>
      <c r="F8" s="10">
        <v>2.6722E7</v>
      </c>
      <c r="G8" s="10">
        <v>5.9904E7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</cols>
  <sheetData>
    <row r="1">
      <c r="A1" s="12" t="s">
        <v>10</v>
      </c>
      <c r="B1" s="12" t="s">
        <v>524</v>
      </c>
      <c r="C1" s="12" t="s">
        <v>525</v>
      </c>
      <c r="D1" s="12" t="s">
        <v>520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25</v>
      </c>
      <c r="B2" s="10">
        <v>2.9032E7</v>
      </c>
      <c r="C2" s="10">
        <v>1.5924E7</v>
      </c>
      <c r="D2" s="10">
        <v>1.3108E7</v>
      </c>
    </row>
    <row r="3">
      <c r="A3" s="10" t="s">
        <v>43</v>
      </c>
      <c r="B3" s="10">
        <v>3.6412E7</v>
      </c>
      <c r="C3" s="10">
        <v>1.0484E7</v>
      </c>
      <c r="D3" s="10">
        <v>2.5928E7</v>
      </c>
    </row>
    <row r="4">
      <c r="A4" s="10" t="s">
        <v>504</v>
      </c>
      <c r="B4" s="10">
        <v>450000.0</v>
      </c>
      <c r="C4" s="10">
        <v>0.0</v>
      </c>
      <c r="D4" s="10">
        <v>450000.0</v>
      </c>
    </row>
    <row r="5">
      <c r="A5" s="10" t="s">
        <v>50</v>
      </c>
      <c r="B5" s="10">
        <v>2.8896E7</v>
      </c>
      <c r="C5" s="10">
        <v>1.9659E7</v>
      </c>
      <c r="D5" s="10">
        <v>9237000.0</v>
      </c>
    </row>
    <row r="6">
      <c r="A6" s="10" t="s">
        <v>35</v>
      </c>
      <c r="B6" s="10">
        <v>3.9019E7</v>
      </c>
      <c r="C6" s="10">
        <v>3.1724E7</v>
      </c>
      <c r="D6" s="10">
        <v>8435000.0</v>
      </c>
    </row>
    <row r="7">
      <c r="A7" s="10" t="s">
        <v>502</v>
      </c>
      <c r="B7" s="10">
        <v>1.33809E8</v>
      </c>
      <c r="C7" s="10">
        <v>7.7791E7</v>
      </c>
      <c r="D7" s="10">
        <v>5.7158E7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16.88"/>
  </cols>
  <sheetData>
    <row r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/>
    <row r="3"/>
    <row r="4"/>
    <row r="5"/>
    <row r="6"/>
    <row r="7"/>
    <row r="8"/>
    <row r="9"/>
    <row r="10"/>
    <row r="11"/>
    <row r="12"/>
    <row r="13"/>
    <row r="14"/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6.0"/>
  </cols>
  <sheetData>
    <row r="1">
      <c r="A1" s="13" t="s">
        <v>9</v>
      </c>
      <c r="B1" s="14" t="s">
        <v>520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66</v>
      </c>
      <c r="B2" s="15">
        <v>1263000.0</v>
      </c>
    </row>
    <row r="3">
      <c r="A3" s="5" t="s">
        <v>122</v>
      </c>
      <c r="B3" s="15">
        <v>948000.0</v>
      </c>
    </row>
    <row r="4">
      <c r="A4" s="5" t="s">
        <v>56</v>
      </c>
      <c r="B4" s="15">
        <v>863000.0</v>
      </c>
    </row>
    <row r="5">
      <c r="A5" s="5" t="s">
        <v>60</v>
      </c>
      <c r="B5" s="15">
        <v>643000.0</v>
      </c>
    </row>
    <row r="6">
      <c r="A6" s="5" t="s">
        <v>190</v>
      </c>
      <c r="B6" s="15">
        <v>523000.0</v>
      </c>
    </row>
    <row r="7">
      <c r="A7" s="5" t="s">
        <v>168</v>
      </c>
      <c r="B7" s="15">
        <v>409000.0</v>
      </c>
    </row>
    <row r="8">
      <c r="A8" s="5" t="s">
        <v>159</v>
      </c>
      <c r="B8" s="15">
        <v>398000.0</v>
      </c>
    </row>
    <row r="9">
      <c r="A9" s="5" t="s">
        <v>134</v>
      </c>
      <c r="B9" s="15">
        <v>384000.0</v>
      </c>
    </row>
    <row r="10">
      <c r="A10" s="5" t="s">
        <v>173</v>
      </c>
      <c r="B10" s="15">
        <v>383000.0</v>
      </c>
    </row>
    <row r="11">
      <c r="A11" s="5" t="s">
        <v>99</v>
      </c>
      <c r="B11" s="15">
        <v>322000.0</v>
      </c>
    </row>
    <row r="12">
      <c r="A12" s="5" t="s">
        <v>182</v>
      </c>
      <c r="B12" s="15">
        <v>228000.0</v>
      </c>
    </row>
    <row r="13">
      <c r="A13" s="5" t="s">
        <v>126</v>
      </c>
      <c r="B13" s="15">
        <v>227000.0</v>
      </c>
    </row>
    <row r="14">
      <c r="A14" s="5" t="s">
        <v>502</v>
      </c>
      <c r="B14" s="15">
        <v>6591000.0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10" max="10" width="14.38"/>
  </cols>
  <sheetData>
    <row r="1">
      <c r="A1" s="1" t="s">
        <v>526</v>
      </c>
      <c r="B1" s="14">
        <f>SUM(Working!E2:E169)</f>
        <v>133809000</v>
      </c>
      <c r="C1" s="2"/>
      <c r="D1" s="2"/>
      <c r="E1" s="2"/>
      <c r="F1" s="2"/>
      <c r="G1" s="2"/>
      <c r="H1" s="17"/>
      <c r="I1" s="17"/>
      <c r="J1" s="17"/>
      <c r="K1" s="1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527</v>
      </c>
      <c r="B2" s="15">
        <f>SUM(Working!I2:I169)</f>
        <v>77791000</v>
      </c>
      <c r="H2" s="16"/>
      <c r="I2" s="16"/>
      <c r="J2" s="16"/>
      <c r="K2" s="19"/>
    </row>
    <row r="3">
      <c r="A3" s="1" t="s">
        <v>528</v>
      </c>
      <c r="B3" s="15">
        <f>SUM(Working!J2:J169)</f>
        <v>57158000</v>
      </c>
      <c r="H3" s="16"/>
      <c r="I3" s="16"/>
      <c r="J3" s="16"/>
      <c r="K3" s="19"/>
    </row>
    <row r="4">
      <c r="A4" s="1" t="s">
        <v>529</v>
      </c>
      <c r="B4" s="20">
        <f>B2/B1</f>
        <v>0.5813585035</v>
      </c>
      <c r="H4" s="16"/>
      <c r="I4" s="16"/>
      <c r="J4" s="16"/>
      <c r="K4" s="19"/>
    </row>
    <row r="5">
      <c r="A5" s="1" t="s">
        <v>530</v>
      </c>
      <c r="B5" s="15">
        <f>SUMIFS(Working!J2:J169,Working!L2:L169,"90+")</f>
        <v>2164000</v>
      </c>
      <c r="H5" s="16"/>
      <c r="I5" s="16"/>
      <c r="J5" s="16"/>
      <c r="K5" s="19"/>
    </row>
    <row r="6">
      <c r="A6" s="1" t="s">
        <v>531</v>
      </c>
      <c r="B6" s="20">
        <f>B5/B3</f>
        <v>0.03785996711</v>
      </c>
      <c r="H6" s="16"/>
      <c r="I6" s="16"/>
      <c r="J6" s="16"/>
      <c r="K6" s="19"/>
    </row>
    <row r="7">
      <c r="A7" s="1" t="s">
        <v>532</v>
      </c>
      <c r="B7" s="21">
        <f>B3/B1*Control!B3</f>
        <v>78.17048181</v>
      </c>
      <c r="H7" s="16"/>
      <c r="I7" s="16"/>
      <c r="J7" s="16"/>
      <c r="K7" s="19"/>
    </row>
    <row r="8">
      <c r="A8" s="2"/>
      <c r="H8" s="16"/>
      <c r="I8" s="16"/>
      <c r="J8" s="16"/>
      <c r="K8" s="19"/>
    </row>
    <row r="9">
      <c r="A9" s="2"/>
      <c r="H9" s="16"/>
      <c r="I9" s="16"/>
      <c r="J9" s="16"/>
      <c r="K9" s="19"/>
    </row>
    <row r="10">
      <c r="A10" s="1" t="s">
        <v>10</v>
      </c>
      <c r="B10" s="1" t="s">
        <v>533</v>
      </c>
      <c r="C10" s="1" t="s">
        <v>534</v>
      </c>
      <c r="D10" s="1" t="s">
        <v>475</v>
      </c>
      <c r="E10" s="1" t="s">
        <v>500</v>
      </c>
      <c r="F10" s="1" t="s">
        <v>535</v>
      </c>
      <c r="G10" s="1" t="s">
        <v>536</v>
      </c>
      <c r="H10" s="22" t="s">
        <v>537</v>
      </c>
      <c r="I10" s="22" t="s">
        <v>538</v>
      </c>
      <c r="J10" s="22" t="s">
        <v>539</v>
      </c>
      <c r="K10" s="23" t="s">
        <v>540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25</v>
      </c>
      <c r="B11" s="15">
        <f>SUMIFS(Working!$E$2:$E$169,Working!$G$2:$G$169,A11)</f>
        <v>29032000</v>
      </c>
      <c r="C11" s="15">
        <f>SUMIFS(Working!$I$2:$I$169,Working!$G$2:$G$169,A11)</f>
        <v>15924000</v>
      </c>
      <c r="D11" s="15">
        <f>SUMIFS(Working!$J$2:$J$169,Working!$G$2:$G$169,A11)</f>
        <v>13108000</v>
      </c>
      <c r="E11" s="15">
        <f>SUMIFS(Working!$J$2:$J$169,Working!$G$2:$G$169,A11,Working!$L$2:$L$169,"90+")</f>
        <v>466000</v>
      </c>
      <c r="F11" s="20">
        <f t="shared" ref="F11:F14" si="1">C11/B11</f>
        <v>0.5484982089</v>
      </c>
      <c r="G11" s="21">
        <f>D11/B11*Control!$B$3</f>
        <v>82.62482778</v>
      </c>
      <c r="H11" s="15">
        <f>COUNTIFS(Headcount!$F$2:$F$122,A11,Headcount!$G$2:$G$122,"OK")</f>
        <v>30</v>
      </c>
      <c r="I11" s="15">
        <f t="shared" ref="I11:I14" si="2">B11/H11</f>
        <v>967733.3333</v>
      </c>
      <c r="J11" s="15">
        <f>SUMIFS(Headcount!$D$2:$D$122,Headcount!$F$2:$F$122,A11,Headcount!$G$2:$G$122,"OK")*Control!$B$4</f>
        <v>23340000</v>
      </c>
      <c r="K11" s="24">
        <f t="shared" ref="K11:K14" si="3">B11/J11</f>
        <v>1.243873179</v>
      </c>
    </row>
    <row r="12">
      <c r="A12" s="1" t="s">
        <v>43</v>
      </c>
      <c r="B12" s="15">
        <f>SUMIFS(Working!$E$2:$E$169,Working!$G$2:$G$169,A12)</f>
        <v>36412000</v>
      </c>
      <c r="C12" s="15">
        <f>SUMIFS(Working!$I$2:$I$169,Working!$G$2:$G$169,A12)</f>
        <v>10484000</v>
      </c>
      <c r="D12" s="15">
        <f>SUMIFS(Working!$J$2:$J$169,Working!$G$2:$G$169,A12)</f>
        <v>25928000</v>
      </c>
      <c r="E12" s="15">
        <f>SUMIFS(Working!$J$2:$J$169,Working!$G$2:$G$169,A12,Working!$L$2:$L$169,"90+")</f>
        <v>948000</v>
      </c>
      <c r="F12" s="20">
        <f t="shared" si="1"/>
        <v>0.287927057</v>
      </c>
      <c r="G12" s="21">
        <f>D12/B12*Control!$B$3</f>
        <v>130.3093486</v>
      </c>
      <c r="H12" s="15">
        <f>COUNTIFS(Headcount!$F$2:$F$122,A12,Headcount!$G$2:$G$122,"OK")</f>
        <v>30</v>
      </c>
      <c r="I12" s="15">
        <f t="shared" si="2"/>
        <v>1213733.333</v>
      </c>
      <c r="J12" s="15">
        <f>SUMIFS(Headcount!$D$2:$D$122,Headcount!$F$2:$F$122,A12,Headcount!$G$2:$G$122,"OK")*Control!$B$4</f>
        <v>28716000</v>
      </c>
      <c r="K12" s="24">
        <f t="shared" si="3"/>
        <v>1.2680039</v>
      </c>
    </row>
    <row r="13">
      <c r="A13" s="1" t="s">
        <v>50</v>
      </c>
      <c r="B13" s="15">
        <f>SUMIFS(Working!$E$2:$E$169,Working!$G$2:$G$169,A13)</f>
        <v>28896000</v>
      </c>
      <c r="C13" s="15">
        <f>SUMIFS(Working!$I$2:$I$169,Working!$G$2:$G$169,A13)</f>
        <v>19659000</v>
      </c>
      <c r="D13" s="15">
        <f>SUMIFS(Working!$J$2:$J$169,Working!$G$2:$G$169,A13)</f>
        <v>9237000</v>
      </c>
      <c r="E13" s="15">
        <f>SUMIFS(Working!$J$2:$J$169,Working!$G$2:$G$169,A13,Working!$L$2:$L$169,"90+")</f>
        <v>227000</v>
      </c>
      <c r="F13" s="20">
        <f t="shared" si="1"/>
        <v>0.6803363787</v>
      </c>
      <c r="G13" s="21">
        <f>D13/B13*Control!$B$3</f>
        <v>58.49844269</v>
      </c>
      <c r="H13" s="15">
        <f>COUNTIFS(Headcount!$F$2:$F$122,A13,Headcount!$G$2:$G$122,"OK")</f>
        <v>30</v>
      </c>
      <c r="I13" s="15">
        <f t="shared" si="2"/>
        <v>963200</v>
      </c>
      <c r="J13" s="15">
        <f>SUMIFS(Headcount!$D$2:$D$122,Headcount!$F$2:$F$122,A13,Headcount!$G$2:$G$122,"OK")*Control!$B$4</f>
        <v>24024000</v>
      </c>
      <c r="K13" s="24">
        <f t="shared" si="3"/>
        <v>1.202797203</v>
      </c>
    </row>
    <row r="14">
      <c r="A14" s="1" t="s">
        <v>35</v>
      </c>
      <c r="B14" s="15">
        <f>SUMIFS(Working!$E$2:$E$169,Working!$G$2:$G$169,A14)</f>
        <v>39019000</v>
      </c>
      <c r="C14" s="15">
        <f>SUMIFS(Working!$I$2:$I$169,Working!$G$2:$G$169,A14)</f>
        <v>31724000</v>
      </c>
      <c r="D14" s="15">
        <f>SUMIFS(Working!$J$2:$J$169,Working!$G$2:$G$169,A14)</f>
        <v>8435000</v>
      </c>
      <c r="E14" s="15">
        <f>SUMIFS(Working!$J$2:$J$169,Working!$G$2:$G$169,A14,Working!$L$2:$L$169,"90+")</f>
        <v>523000</v>
      </c>
      <c r="F14" s="20">
        <f t="shared" si="1"/>
        <v>0.8130398011</v>
      </c>
      <c r="G14" s="21">
        <f>D14/B14*Control!$B$3</f>
        <v>39.5603424</v>
      </c>
      <c r="H14" s="15">
        <f>COUNTIFS(Headcount!$F$2:$F$122,A14,Headcount!$G$2:$G$122,"OK")</f>
        <v>30</v>
      </c>
      <c r="I14" s="15">
        <f t="shared" si="2"/>
        <v>1300633.333</v>
      </c>
      <c r="J14" s="15">
        <f>SUMIFS(Headcount!$D$2:$D$122,Headcount!$F$2:$F$122,A14,Headcount!$G$2:$G$122,"OK")*Control!$B$4</f>
        <v>23472000</v>
      </c>
      <c r="K14" s="24">
        <f t="shared" si="3"/>
        <v>1.662363667</v>
      </c>
    </row>
    <row r="15">
      <c r="A15" s="2"/>
      <c r="H15" s="16"/>
      <c r="I15" s="16"/>
      <c r="J15" s="16"/>
      <c r="K15" s="19"/>
    </row>
    <row r="16">
      <c r="A16" s="2"/>
      <c r="H16" s="16"/>
      <c r="I16" s="16"/>
      <c r="J16" s="16"/>
      <c r="K16" s="19"/>
    </row>
    <row r="17">
      <c r="A17" s="2"/>
      <c r="H17" s="16"/>
      <c r="I17" s="16"/>
      <c r="J17" s="16"/>
      <c r="K17" s="19"/>
    </row>
    <row r="18">
      <c r="A18" s="2"/>
      <c r="H18" s="16"/>
      <c r="I18" s="16"/>
      <c r="J18" s="16"/>
      <c r="K18" s="19"/>
    </row>
    <row r="19">
      <c r="A19" s="2"/>
      <c r="H19" s="16"/>
      <c r="I19" s="16"/>
      <c r="J19" s="16"/>
      <c r="K19" s="19"/>
    </row>
    <row r="20">
      <c r="A20" s="2"/>
      <c r="H20" s="16"/>
      <c r="I20" s="16"/>
      <c r="J20" s="16"/>
      <c r="K20" s="19"/>
    </row>
    <row r="21">
      <c r="A21" s="2"/>
      <c r="H21" s="16"/>
      <c r="I21" s="16"/>
      <c r="J21" s="16"/>
      <c r="K21" s="19"/>
    </row>
    <row r="22">
      <c r="A22" s="2"/>
      <c r="H22" s="16"/>
      <c r="I22" s="16"/>
      <c r="J22" s="16"/>
      <c r="K22" s="19"/>
    </row>
    <row r="23">
      <c r="A23" s="2"/>
      <c r="H23" s="16"/>
      <c r="I23" s="16"/>
      <c r="J23" s="16"/>
      <c r="K23" s="19"/>
    </row>
    <row r="24">
      <c r="A24" s="2"/>
      <c r="H24" s="16"/>
      <c r="I24" s="16"/>
      <c r="J24" s="16"/>
      <c r="K24" s="19"/>
    </row>
    <row r="25">
      <c r="A25" s="2"/>
      <c r="H25" s="16"/>
      <c r="I25" s="16"/>
      <c r="J25" s="16"/>
      <c r="K25" s="19"/>
    </row>
    <row r="26">
      <c r="A26" s="2"/>
      <c r="H26" s="16"/>
      <c r="I26" s="16"/>
      <c r="J26" s="16"/>
      <c r="K26" s="19"/>
    </row>
    <row r="27">
      <c r="A27" s="2"/>
      <c r="H27" s="16"/>
      <c r="I27" s="16"/>
      <c r="J27" s="16"/>
      <c r="K27" s="19"/>
    </row>
    <row r="28">
      <c r="A28" s="2"/>
      <c r="H28" s="16"/>
      <c r="I28" s="16"/>
      <c r="J28" s="16"/>
      <c r="K28" s="19"/>
    </row>
    <row r="29">
      <c r="A29" s="2"/>
      <c r="H29" s="16"/>
      <c r="I29" s="16"/>
      <c r="J29" s="16"/>
      <c r="K29" s="19"/>
    </row>
    <row r="30">
      <c r="A30" s="2"/>
      <c r="H30" s="16"/>
      <c r="I30" s="16"/>
      <c r="J30" s="16"/>
      <c r="K30" s="19"/>
    </row>
    <row r="31">
      <c r="A31" s="2"/>
      <c r="H31" s="16"/>
      <c r="I31" s="16"/>
      <c r="J31" s="16"/>
      <c r="K31" s="19"/>
    </row>
    <row r="32">
      <c r="A32" s="2"/>
      <c r="H32" s="16"/>
      <c r="I32" s="16"/>
      <c r="J32" s="16"/>
      <c r="K32" s="19"/>
    </row>
    <row r="33">
      <c r="A33" s="2"/>
      <c r="H33" s="16"/>
      <c r="I33" s="16"/>
      <c r="J33" s="16"/>
      <c r="K33" s="19"/>
    </row>
    <row r="34">
      <c r="A34" s="2"/>
      <c r="H34" s="16"/>
      <c r="I34" s="16"/>
      <c r="J34" s="16"/>
      <c r="K34" s="19"/>
    </row>
    <row r="35">
      <c r="A35" s="2"/>
      <c r="H35" s="16"/>
      <c r="I35" s="16"/>
      <c r="J35" s="16"/>
      <c r="K35" s="19"/>
    </row>
    <row r="36">
      <c r="A36" s="2"/>
      <c r="H36" s="16"/>
      <c r="I36" s="16"/>
      <c r="J36" s="16"/>
      <c r="K36" s="19"/>
    </row>
    <row r="37">
      <c r="A37" s="2"/>
      <c r="H37" s="16"/>
      <c r="I37" s="16"/>
      <c r="J37" s="16"/>
      <c r="K37" s="19"/>
    </row>
    <row r="38">
      <c r="A38" s="2"/>
      <c r="H38" s="16"/>
      <c r="I38" s="16"/>
      <c r="J38" s="16"/>
      <c r="K38" s="19"/>
    </row>
    <row r="39">
      <c r="A39" s="2"/>
      <c r="H39" s="16"/>
      <c r="I39" s="16"/>
      <c r="J39" s="16"/>
      <c r="K39" s="19"/>
    </row>
    <row r="40">
      <c r="A40" s="2"/>
      <c r="H40" s="16"/>
      <c r="I40" s="16"/>
      <c r="J40" s="16"/>
      <c r="K40" s="19"/>
    </row>
    <row r="41">
      <c r="A41" s="2"/>
      <c r="H41" s="16"/>
      <c r="I41" s="16"/>
      <c r="J41" s="16"/>
      <c r="K41" s="19"/>
    </row>
    <row r="42">
      <c r="A42" s="2"/>
      <c r="H42" s="16"/>
      <c r="I42" s="16"/>
      <c r="J42" s="16"/>
      <c r="K42" s="19"/>
    </row>
    <row r="43">
      <c r="A43" s="2"/>
      <c r="H43" s="16"/>
      <c r="I43" s="16"/>
      <c r="J43" s="16"/>
      <c r="K43" s="19"/>
    </row>
    <row r="44">
      <c r="A44" s="2"/>
      <c r="H44" s="16"/>
      <c r="I44" s="16"/>
      <c r="J44" s="16"/>
      <c r="K44" s="19"/>
    </row>
    <row r="45">
      <c r="A45" s="2"/>
      <c r="H45" s="16"/>
      <c r="I45" s="16"/>
      <c r="J45" s="16"/>
      <c r="K45" s="19"/>
    </row>
    <row r="46">
      <c r="A46" s="2"/>
      <c r="H46" s="16"/>
      <c r="I46" s="16"/>
      <c r="J46" s="16"/>
      <c r="K46" s="19"/>
    </row>
    <row r="47">
      <c r="A47" s="2"/>
      <c r="H47" s="16"/>
      <c r="I47" s="16"/>
      <c r="J47" s="16"/>
      <c r="K47" s="19"/>
    </row>
    <row r="48">
      <c r="A48" s="2"/>
      <c r="H48" s="16"/>
      <c r="I48" s="16"/>
      <c r="J48" s="16"/>
      <c r="K48" s="19"/>
    </row>
    <row r="49">
      <c r="A49" s="2"/>
      <c r="H49" s="16"/>
      <c r="I49" s="16"/>
      <c r="J49" s="16"/>
      <c r="K49" s="19"/>
    </row>
    <row r="50">
      <c r="A50" s="2"/>
      <c r="H50" s="16"/>
      <c r="I50" s="16"/>
      <c r="J50" s="16"/>
      <c r="K50" s="19"/>
    </row>
    <row r="51">
      <c r="A51" s="2"/>
      <c r="H51" s="16"/>
      <c r="I51" s="16"/>
      <c r="J51" s="16"/>
      <c r="K51" s="19"/>
    </row>
    <row r="52">
      <c r="A52" s="2"/>
      <c r="H52" s="16"/>
      <c r="I52" s="16"/>
      <c r="J52" s="16"/>
      <c r="K52" s="19"/>
    </row>
    <row r="53">
      <c r="A53" s="2"/>
      <c r="H53" s="16"/>
      <c r="I53" s="16"/>
      <c r="J53" s="16"/>
      <c r="K53" s="19"/>
    </row>
    <row r="54">
      <c r="A54" s="2"/>
      <c r="H54" s="16"/>
      <c r="I54" s="16"/>
      <c r="J54" s="16"/>
      <c r="K54" s="19"/>
    </row>
    <row r="55">
      <c r="A55" s="2"/>
      <c r="H55" s="16"/>
      <c r="I55" s="16"/>
      <c r="J55" s="16"/>
      <c r="K55" s="19"/>
    </row>
    <row r="56">
      <c r="A56" s="2"/>
      <c r="H56" s="16"/>
      <c r="I56" s="16"/>
      <c r="J56" s="16"/>
      <c r="K56" s="19"/>
    </row>
    <row r="57">
      <c r="A57" s="2"/>
      <c r="H57" s="16"/>
      <c r="I57" s="16"/>
      <c r="J57" s="16"/>
      <c r="K57" s="19"/>
    </row>
    <row r="58">
      <c r="A58" s="2"/>
      <c r="H58" s="16"/>
      <c r="I58" s="16"/>
      <c r="J58" s="16"/>
      <c r="K58" s="19"/>
    </row>
    <row r="59">
      <c r="A59" s="2"/>
      <c r="H59" s="16"/>
      <c r="I59" s="16"/>
      <c r="J59" s="16"/>
      <c r="K59" s="19"/>
    </row>
    <row r="60">
      <c r="A60" s="2"/>
      <c r="H60" s="16"/>
      <c r="I60" s="16"/>
      <c r="J60" s="16"/>
      <c r="K60" s="19"/>
    </row>
    <row r="61">
      <c r="A61" s="2"/>
      <c r="H61" s="16"/>
      <c r="I61" s="16"/>
      <c r="J61" s="16"/>
      <c r="K61" s="19"/>
    </row>
    <row r="62">
      <c r="A62" s="2"/>
      <c r="H62" s="16"/>
      <c r="I62" s="16"/>
      <c r="J62" s="16"/>
      <c r="K62" s="19"/>
    </row>
    <row r="63">
      <c r="A63" s="2"/>
      <c r="H63" s="16"/>
      <c r="I63" s="16"/>
      <c r="J63" s="16"/>
      <c r="K63" s="19"/>
    </row>
    <row r="64">
      <c r="A64" s="2"/>
      <c r="H64" s="16"/>
      <c r="I64" s="16"/>
      <c r="J64" s="16"/>
      <c r="K64" s="19"/>
    </row>
    <row r="65">
      <c r="A65" s="2"/>
      <c r="H65" s="16"/>
      <c r="I65" s="16"/>
      <c r="J65" s="16"/>
      <c r="K65" s="19"/>
    </row>
    <row r="66">
      <c r="A66" s="2"/>
      <c r="H66" s="16"/>
      <c r="I66" s="16"/>
      <c r="J66" s="16"/>
      <c r="K66" s="19"/>
    </row>
    <row r="67">
      <c r="A67" s="2"/>
      <c r="H67" s="16"/>
      <c r="I67" s="16"/>
      <c r="J67" s="16"/>
      <c r="K67" s="19"/>
    </row>
    <row r="68">
      <c r="A68" s="2"/>
      <c r="H68" s="16"/>
      <c r="I68" s="16"/>
      <c r="J68" s="16"/>
      <c r="K68" s="19"/>
    </row>
    <row r="69">
      <c r="A69" s="2"/>
      <c r="H69" s="16"/>
      <c r="I69" s="16"/>
      <c r="J69" s="16"/>
      <c r="K69" s="19"/>
    </row>
    <row r="70">
      <c r="A70" s="2"/>
      <c r="H70" s="16"/>
      <c r="I70" s="16"/>
      <c r="J70" s="16"/>
      <c r="K70" s="19"/>
    </row>
    <row r="71">
      <c r="A71" s="2"/>
      <c r="H71" s="16"/>
      <c r="I71" s="16"/>
      <c r="J71" s="16"/>
      <c r="K71" s="19"/>
    </row>
    <row r="72">
      <c r="A72" s="2"/>
      <c r="H72" s="16"/>
      <c r="I72" s="16"/>
      <c r="J72" s="16"/>
      <c r="K72" s="19"/>
    </row>
    <row r="73">
      <c r="A73" s="2"/>
      <c r="H73" s="16"/>
      <c r="I73" s="16"/>
      <c r="J73" s="16"/>
      <c r="K73" s="19"/>
    </row>
    <row r="74">
      <c r="A74" s="2"/>
      <c r="H74" s="16"/>
      <c r="I74" s="16"/>
      <c r="J74" s="16"/>
      <c r="K74" s="19"/>
    </row>
    <row r="75">
      <c r="A75" s="2"/>
      <c r="H75" s="16"/>
      <c r="I75" s="16"/>
      <c r="J75" s="16"/>
      <c r="K75" s="19"/>
    </row>
    <row r="76">
      <c r="A76" s="2"/>
      <c r="H76" s="16"/>
      <c r="I76" s="16"/>
      <c r="J76" s="16"/>
      <c r="K76" s="19"/>
    </row>
    <row r="77">
      <c r="A77" s="2"/>
      <c r="H77" s="16"/>
      <c r="I77" s="16"/>
      <c r="J77" s="16"/>
      <c r="K77" s="19"/>
    </row>
    <row r="78">
      <c r="A78" s="2"/>
      <c r="H78" s="16"/>
      <c r="I78" s="16"/>
      <c r="J78" s="16"/>
      <c r="K78" s="19"/>
    </row>
    <row r="79">
      <c r="A79" s="2"/>
      <c r="H79" s="16"/>
      <c r="I79" s="16"/>
      <c r="J79" s="16"/>
      <c r="K79" s="19"/>
    </row>
    <row r="80">
      <c r="A80" s="2"/>
      <c r="H80" s="16"/>
      <c r="I80" s="16"/>
      <c r="J80" s="16"/>
      <c r="K80" s="19"/>
    </row>
    <row r="81">
      <c r="A81" s="2"/>
      <c r="H81" s="16"/>
      <c r="I81" s="16"/>
      <c r="J81" s="16"/>
      <c r="K81" s="19"/>
    </row>
    <row r="82">
      <c r="A82" s="2"/>
      <c r="H82" s="16"/>
      <c r="I82" s="16"/>
      <c r="J82" s="16"/>
      <c r="K82" s="19"/>
    </row>
    <row r="83">
      <c r="A83" s="2"/>
      <c r="H83" s="16"/>
      <c r="I83" s="16"/>
      <c r="J83" s="16"/>
      <c r="K83" s="19"/>
    </row>
    <row r="84">
      <c r="A84" s="2"/>
      <c r="H84" s="16"/>
      <c r="I84" s="16"/>
      <c r="J84" s="16"/>
      <c r="K84" s="19"/>
    </row>
    <row r="85">
      <c r="A85" s="2"/>
      <c r="H85" s="16"/>
      <c r="I85" s="16"/>
      <c r="J85" s="16"/>
      <c r="K85" s="19"/>
    </row>
    <row r="86">
      <c r="A86" s="2"/>
      <c r="H86" s="16"/>
      <c r="I86" s="16"/>
      <c r="J86" s="16"/>
      <c r="K86" s="19"/>
    </row>
    <row r="87">
      <c r="A87" s="2"/>
      <c r="H87" s="16"/>
      <c r="I87" s="16"/>
      <c r="J87" s="16"/>
      <c r="K87" s="19"/>
    </row>
    <row r="88">
      <c r="A88" s="2"/>
      <c r="H88" s="16"/>
      <c r="I88" s="16"/>
      <c r="J88" s="16"/>
      <c r="K88" s="19"/>
    </row>
    <row r="89">
      <c r="A89" s="2"/>
      <c r="H89" s="16"/>
      <c r="I89" s="16"/>
      <c r="J89" s="16"/>
      <c r="K89" s="19"/>
    </row>
    <row r="90">
      <c r="A90" s="2"/>
      <c r="H90" s="16"/>
      <c r="I90" s="16"/>
      <c r="J90" s="16"/>
      <c r="K90" s="19"/>
    </row>
    <row r="91">
      <c r="A91" s="2"/>
      <c r="H91" s="16"/>
      <c r="I91" s="16"/>
      <c r="J91" s="16"/>
      <c r="K91" s="19"/>
    </row>
    <row r="92">
      <c r="A92" s="2"/>
      <c r="H92" s="16"/>
      <c r="I92" s="16"/>
      <c r="J92" s="16"/>
      <c r="K92" s="19"/>
    </row>
    <row r="93">
      <c r="A93" s="2"/>
      <c r="H93" s="16"/>
      <c r="I93" s="16"/>
      <c r="J93" s="16"/>
      <c r="K93" s="19"/>
    </row>
    <row r="94">
      <c r="A94" s="2"/>
      <c r="H94" s="16"/>
      <c r="I94" s="16"/>
      <c r="J94" s="16"/>
      <c r="K94" s="19"/>
    </row>
    <row r="95">
      <c r="A95" s="2"/>
      <c r="H95" s="16"/>
      <c r="I95" s="16"/>
      <c r="J95" s="16"/>
      <c r="K95" s="19"/>
    </row>
    <row r="96">
      <c r="A96" s="2"/>
      <c r="H96" s="16"/>
      <c r="I96" s="16"/>
      <c r="J96" s="16"/>
      <c r="K96" s="19"/>
    </row>
    <row r="97">
      <c r="A97" s="2"/>
      <c r="H97" s="16"/>
      <c r="I97" s="16"/>
      <c r="J97" s="16"/>
      <c r="K97" s="19"/>
    </row>
    <row r="98">
      <c r="A98" s="2"/>
      <c r="H98" s="16"/>
      <c r="I98" s="16"/>
      <c r="J98" s="16"/>
      <c r="K98" s="19"/>
    </row>
    <row r="99">
      <c r="A99" s="2"/>
      <c r="H99" s="16"/>
      <c r="I99" s="16"/>
      <c r="J99" s="16"/>
      <c r="K99" s="19"/>
    </row>
    <row r="100">
      <c r="A100" s="2"/>
      <c r="H100" s="16"/>
      <c r="I100" s="16"/>
      <c r="J100" s="16"/>
      <c r="K100" s="19"/>
    </row>
    <row r="101">
      <c r="A101" s="2"/>
      <c r="H101" s="16"/>
      <c r="I101" s="16"/>
      <c r="J101" s="16"/>
      <c r="K101" s="19"/>
    </row>
    <row r="102">
      <c r="A102" s="2"/>
      <c r="H102" s="16"/>
      <c r="I102" s="16"/>
      <c r="J102" s="16"/>
      <c r="K102" s="19"/>
    </row>
    <row r="103">
      <c r="A103" s="2"/>
      <c r="H103" s="16"/>
      <c r="I103" s="16"/>
      <c r="J103" s="16"/>
      <c r="K103" s="19"/>
    </row>
    <row r="104">
      <c r="A104" s="2"/>
      <c r="H104" s="16"/>
      <c r="I104" s="16"/>
      <c r="J104" s="16"/>
      <c r="K104" s="19"/>
    </row>
    <row r="105">
      <c r="A105" s="2"/>
      <c r="H105" s="16"/>
      <c r="I105" s="16"/>
      <c r="J105" s="16"/>
      <c r="K105" s="19"/>
    </row>
    <row r="106">
      <c r="A106" s="2"/>
      <c r="H106" s="16"/>
      <c r="I106" s="16"/>
      <c r="J106" s="16"/>
      <c r="K106" s="19"/>
    </row>
    <row r="107">
      <c r="A107" s="2"/>
      <c r="H107" s="16"/>
      <c r="I107" s="16"/>
      <c r="J107" s="16"/>
      <c r="K107" s="19"/>
    </row>
    <row r="108">
      <c r="A108" s="2"/>
      <c r="H108" s="16"/>
      <c r="I108" s="16"/>
      <c r="J108" s="16"/>
      <c r="K108" s="19"/>
    </row>
    <row r="109">
      <c r="A109" s="2"/>
      <c r="H109" s="16"/>
      <c r="I109" s="16"/>
      <c r="J109" s="16"/>
      <c r="K109" s="19"/>
    </row>
    <row r="110">
      <c r="A110" s="2"/>
      <c r="H110" s="16"/>
      <c r="I110" s="16"/>
      <c r="J110" s="16"/>
      <c r="K110" s="19"/>
    </row>
    <row r="111">
      <c r="A111" s="2"/>
      <c r="H111" s="16"/>
      <c r="I111" s="16"/>
      <c r="J111" s="16"/>
      <c r="K111" s="19"/>
    </row>
    <row r="112">
      <c r="A112" s="2"/>
      <c r="H112" s="16"/>
      <c r="I112" s="16"/>
      <c r="J112" s="16"/>
      <c r="K112" s="19"/>
    </row>
    <row r="113">
      <c r="A113" s="2"/>
      <c r="H113" s="16"/>
      <c r="I113" s="16"/>
      <c r="J113" s="16"/>
      <c r="K113" s="19"/>
    </row>
    <row r="114">
      <c r="A114" s="2"/>
      <c r="H114" s="16"/>
      <c r="I114" s="16"/>
      <c r="J114" s="16"/>
      <c r="K114" s="19"/>
    </row>
    <row r="115">
      <c r="A115" s="2"/>
      <c r="H115" s="16"/>
      <c r="I115" s="16"/>
      <c r="J115" s="16"/>
      <c r="K115" s="19"/>
    </row>
    <row r="116">
      <c r="A116" s="2"/>
      <c r="H116" s="16"/>
      <c r="I116" s="16"/>
      <c r="J116" s="16"/>
      <c r="K116" s="19"/>
    </row>
    <row r="117">
      <c r="A117" s="2"/>
      <c r="H117" s="16"/>
      <c r="I117" s="16"/>
      <c r="J117" s="16"/>
      <c r="K117" s="19"/>
    </row>
    <row r="118">
      <c r="A118" s="2"/>
      <c r="H118" s="16"/>
      <c r="I118" s="16"/>
      <c r="J118" s="16"/>
      <c r="K118" s="19"/>
    </row>
    <row r="119">
      <c r="A119" s="2"/>
      <c r="H119" s="16"/>
      <c r="I119" s="16"/>
      <c r="J119" s="16"/>
      <c r="K119" s="19"/>
    </row>
    <row r="120">
      <c r="A120" s="2"/>
      <c r="H120" s="16"/>
      <c r="I120" s="16"/>
      <c r="J120" s="16"/>
      <c r="K120" s="19"/>
    </row>
    <row r="121">
      <c r="A121" s="2"/>
      <c r="H121" s="16"/>
      <c r="I121" s="16"/>
      <c r="J121" s="16"/>
      <c r="K121" s="19"/>
    </row>
    <row r="122">
      <c r="A122" s="2"/>
      <c r="H122" s="16"/>
      <c r="I122" s="16"/>
      <c r="J122" s="16"/>
      <c r="K122" s="19"/>
    </row>
    <row r="123">
      <c r="A123" s="2"/>
      <c r="H123" s="16"/>
      <c r="I123" s="16"/>
      <c r="J123" s="16"/>
      <c r="K123" s="19"/>
    </row>
    <row r="124">
      <c r="A124" s="2"/>
      <c r="H124" s="16"/>
      <c r="I124" s="16"/>
      <c r="J124" s="16"/>
      <c r="K124" s="19"/>
    </row>
    <row r="125">
      <c r="A125" s="2"/>
      <c r="H125" s="16"/>
      <c r="I125" s="16"/>
      <c r="J125" s="16"/>
      <c r="K125" s="19"/>
    </row>
    <row r="126">
      <c r="A126" s="2"/>
      <c r="H126" s="16"/>
      <c r="I126" s="16"/>
      <c r="J126" s="16"/>
      <c r="K126" s="19"/>
    </row>
    <row r="127">
      <c r="A127" s="2"/>
      <c r="H127" s="16"/>
      <c r="I127" s="16"/>
      <c r="J127" s="16"/>
      <c r="K127" s="19"/>
    </row>
    <row r="128">
      <c r="A128" s="2"/>
      <c r="H128" s="16"/>
      <c r="I128" s="16"/>
      <c r="J128" s="16"/>
      <c r="K128" s="19"/>
    </row>
    <row r="129">
      <c r="A129" s="2"/>
      <c r="H129" s="16"/>
      <c r="I129" s="16"/>
      <c r="J129" s="16"/>
      <c r="K129" s="19"/>
    </row>
    <row r="130">
      <c r="A130" s="2"/>
      <c r="H130" s="16"/>
      <c r="I130" s="16"/>
      <c r="J130" s="16"/>
      <c r="K130" s="19"/>
    </row>
    <row r="131">
      <c r="A131" s="2"/>
      <c r="H131" s="16"/>
      <c r="I131" s="16"/>
      <c r="J131" s="16"/>
      <c r="K131" s="19"/>
    </row>
    <row r="132">
      <c r="A132" s="2"/>
      <c r="H132" s="16"/>
      <c r="I132" s="16"/>
      <c r="J132" s="16"/>
      <c r="K132" s="19"/>
    </row>
    <row r="133">
      <c r="A133" s="2"/>
      <c r="H133" s="16"/>
      <c r="I133" s="16"/>
      <c r="J133" s="16"/>
      <c r="K133" s="19"/>
    </row>
    <row r="134">
      <c r="A134" s="2"/>
      <c r="H134" s="16"/>
      <c r="I134" s="16"/>
      <c r="J134" s="16"/>
      <c r="K134" s="19"/>
    </row>
    <row r="135">
      <c r="A135" s="2"/>
      <c r="H135" s="16"/>
      <c r="I135" s="16"/>
      <c r="J135" s="16"/>
      <c r="K135" s="19"/>
    </row>
    <row r="136">
      <c r="A136" s="2"/>
      <c r="H136" s="16"/>
      <c r="I136" s="16"/>
      <c r="J136" s="16"/>
      <c r="K136" s="19"/>
    </row>
    <row r="137">
      <c r="A137" s="2"/>
      <c r="H137" s="16"/>
      <c r="I137" s="16"/>
      <c r="J137" s="16"/>
      <c r="K137" s="19"/>
    </row>
    <row r="138">
      <c r="A138" s="2"/>
      <c r="H138" s="16"/>
      <c r="I138" s="16"/>
      <c r="J138" s="16"/>
      <c r="K138" s="19"/>
    </row>
    <row r="139">
      <c r="A139" s="2"/>
      <c r="H139" s="16"/>
      <c r="I139" s="16"/>
      <c r="J139" s="16"/>
      <c r="K139" s="19"/>
    </row>
    <row r="140">
      <c r="A140" s="2"/>
      <c r="H140" s="16"/>
      <c r="I140" s="16"/>
      <c r="J140" s="16"/>
      <c r="K140" s="19"/>
    </row>
    <row r="141">
      <c r="A141" s="2"/>
      <c r="H141" s="16"/>
      <c r="I141" s="16"/>
      <c r="J141" s="16"/>
      <c r="K141" s="19"/>
    </row>
    <row r="142">
      <c r="A142" s="2"/>
      <c r="H142" s="16"/>
      <c r="I142" s="16"/>
      <c r="J142" s="16"/>
      <c r="K142" s="19"/>
    </row>
    <row r="143">
      <c r="A143" s="2"/>
      <c r="H143" s="16"/>
      <c r="I143" s="16"/>
      <c r="J143" s="16"/>
      <c r="K143" s="19"/>
    </row>
    <row r="144">
      <c r="A144" s="2"/>
      <c r="H144" s="16"/>
      <c r="I144" s="16"/>
      <c r="J144" s="16"/>
      <c r="K144" s="19"/>
    </row>
    <row r="145">
      <c r="A145" s="2"/>
      <c r="H145" s="16"/>
      <c r="I145" s="16"/>
      <c r="J145" s="16"/>
      <c r="K145" s="19"/>
    </row>
    <row r="146">
      <c r="A146" s="2"/>
      <c r="H146" s="16"/>
      <c r="I146" s="16"/>
      <c r="J146" s="16"/>
      <c r="K146" s="19"/>
    </row>
    <row r="147">
      <c r="A147" s="2"/>
      <c r="H147" s="16"/>
      <c r="I147" s="16"/>
      <c r="J147" s="16"/>
      <c r="K147" s="19"/>
    </row>
    <row r="148">
      <c r="A148" s="2"/>
      <c r="H148" s="16"/>
      <c r="I148" s="16"/>
      <c r="J148" s="16"/>
      <c r="K148" s="19"/>
    </row>
    <row r="149">
      <c r="A149" s="2"/>
      <c r="H149" s="16"/>
      <c r="I149" s="16"/>
      <c r="J149" s="16"/>
      <c r="K149" s="19"/>
    </row>
    <row r="150">
      <c r="A150" s="2"/>
      <c r="H150" s="16"/>
      <c r="I150" s="16"/>
      <c r="J150" s="16"/>
      <c r="K150" s="19"/>
    </row>
    <row r="151">
      <c r="A151" s="2"/>
      <c r="H151" s="16"/>
      <c r="I151" s="16"/>
      <c r="J151" s="16"/>
      <c r="K151" s="19"/>
    </row>
    <row r="152">
      <c r="A152" s="2"/>
      <c r="H152" s="16"/>
      <c r="I152" s="16"/>
      <c r="J152" s="16"/>
      <c r="K152" s="19"/>
    </row>
    <row r="153">
      <c r="A153" s="2"/>
      <c r="H153" s="16"/>
      <c r="I153" s="16"/>
      <c r="J153" s="16"/>
      <c r="K153" s="19"/>
    </row>
    <row r="154">
      <c r="A154" s="2"/>
      <c r="H154" s="16"/>
      <c r="I154" s="16"/>
      <c r="J154" s="16"/>
      <c r="K154" s="19"/>
    </row>
    <row r="155">
      <c r="A155" s="2"/>
      <c r="H155" s="16"/>
      <c r="I155" s="16"/>
      <c r="J155" s="16"/>
      <c r="K155" s="19"/>
    </row>
    <row r="156">
      <c r="A156" s="2"/>
      <c r="H156" s="16"/>
      <c r="I156" s="16"/>
      <c r="J156" s="16"/>
      <c r="K156" s="19"/>
    </row>
    <row r="157">
      <c r="A157" s="2"/>
      <c r="H157" s="16"/>
      <c r="I157" s="16"/>
      <c r="J157" s="16"/>
      <c r="K157" s="19"/>
    </row>
    <row r="158">
      <c r="A158" s="2"/>
      <c r="H158" s="16"/>
      <c r="I158" s="16"/>
      <c r="J158" s="16"/>
      <c r="K158" s="19"/>
    </row>
    <row r="159">
      <c r="A159" s="2"/>
      <c r="H159" s="16"/>
      <c r="I159" s="16"/>
      <c r="J159" s="16"/>
      <c r="K159" s="19"/>
    </row>
    <row r="160">
      <c r="A160" s="2"/>
      <c r="H160" s="16"/>
      <c r="I160" s="16"/>
      <c r="J160" s="16"/>
      <c r="K160" s="19"/>
    </row>
    <row r="161">
      <c r="A161" s="2"/>
      <c r="H161" s="16"/>
      <c r="I161" s="16"/>
      <c r="J161" s="16"/>
      <c r="K161" s="19"/>
    </row>
    <row r="162">
      <c r="A162" s="2"/>
      <c r="H162" s="16"/>
      <c r="I162" s="16"/>
      <c r="J162" s="16"/>
      <c r="K162" s="19"/>
    </row>
    <row r="163">
      <c r="A163" s="2"/>
      <c r="H163" s="16"/>
      <c r="I163" s="16"/>
      <c r="J163" s="16"/>
      <c r="K163" s="19"/>
    </row>
    <row r="164">
      <c r="A164" s="2"/>
      <c r="H164" s="16"/>
      <c r="I164" s="16"/>
      <c r="J164" s="16"/>
      <c r="K164" s="19"/>
    </row>
    <row r="165">
      <c r="A165" s="2"/>
      <c r="H165" s="16"/>
      <c r="I165" s="16"/>
      <c r="J165" s="16"/>
      <c r="K165" s="19"/>
    </row>
    <row r="166">
      <c r="A166" s="2"/>
      <c r="H166" s="16"/>
      <c r="I166" s="16"/>
      <c r="J166" s="16"/>
      <c r="K166" s="19"/>
    </row>
    <row r="167">
      <c r="A167" s="2"/>
      <c r="H167" s="16"/>
      <c r="I167" s="16"/>
      <c r="J167" s="16"/>
      <c r="K167" s="19"/>
    </row>
    <row r="168">
      <c r="A168" s="2"/>
      <c r="H168" s="16"/>
      <c r="I168" s="16"/>
      <c r="J168" s="16"/>
      <c r="K168" s="19"/>
    </row>
    <row r="169">
      <c r="A169" s="2"/>
      <c r="H169" s="16"/>
      <c r="I169" s="16"/>
      <c r="J169" s="16"/>
      <c r="K169" s="19"/>
    </row>
    <row r="170">
      <c r="A170" s="2"/>
      <c r="H170" s="16"/>
      <c r="I170" s="16"/>
      <c r="J170" s="16"/>
      <c r="K170" s="19"/>
    </row>
    <row r="171">
      <c r="A171" s="2"/>
      <c r="H171" s="16"/>
      <c r="I171" s="16"/>
      <c r="J171" s="16"/>
      <c r="K171" s="19"/>
    </row>
    <row r="172">
      <c r="A172" s="2"/>
      <c r="H172" s="16"/>
      <c r="I172" s="16"/>
      <c r="J172" s="16"/>
      <c r="K172" s="19"/>
    </row>
    <row r="173">
      <c r="A173" s="2"/>
      <c r="H173" s="16"/>
      <c r="I173" s="16"/>
      <c r="J173" s="16"/>
      <c r="K173" s="19"/>
    </row>
    <row r="174">
      <c r="A174" s="2"/>
      <c r="H174" s="16"/>
      <c r="I174" s="16"/>
      <c r="J174" s="16"/>
      <c r="K174" s="19"/>
    </row>
    <row r="175">
      <c r="A175" s="2"/>
      <c r="H175" s="16"/>
      <c r="I175" s="16"/>
      <c r="J175" s="16"/>
      <c r="K175" s="19"/>
    </row>
    <row r="176">
      <c r="A176" s="2"/>
      <c r="H176" s="16"/>
      <c r="I176" s="16"/>
      <c r="J176" s="16"/>
      <c r="K176" s="19"/>
    </row>
    <row r="177">
      <c r="A177" s="2"/>
      <c r="H177" s="16"/>
      <c r="I177" s="16"/>
      <c r="J177" s="16"/>
      <c r="K177" s="19"/>
    </row>
    <row r="178">
      <c r="A178" s="2"/>
      <c r="H178" s="16"/>
      <c r="I178" s="16"/>
      <c r="J178" s="16"/>
      <c r="K178" s="19"/>
    </row>
    <row r="179">
      <c r="A179" s="2"/>
      <c r="H179" s="16"/>
      <c r="I179" s="16"/>
      <c r="J179" s="16"/>
      <c r="K179" s="19"/>
    </row>
    <row r="180">
      <c r="A180" s="2"/>
      <c r="H180" s="16"/>
      <c r="I180" s="16"/>
      <c r="J180" s="16"/>
      <c r="K180" s="19"/>
    </row>
    <row r="181">
      <c r="A181" s="2"/>
      <c r="H181" s="16"/>
      <c r="I181" s="16"/>
      <c r="J181" s="16"/>
      <c r="K181" s="19"/>
    </row>
    <row r="182">
      <c r="A182" s="2"/>
      <c r="H182" s="16"/>
      <c r="I182" s="16"/>
      <c r="J182" s="16"/>
      <c r="K182" s="19"/>
    </row>
    <row r="183">
      <c r="A183" s="2"/>
      <c r="H183" s="16"/>
      <c r="I183" s="16"/>
      <c r="J183" s="16"/>
      <c r="K183" s="19"/>
    </row>
    <row r="184">
      <c r="A184" s="2"/>
      <c r="H184" s="16"/>
      <c r="I184" s="16"/>
      <c r="J184" s="16"/>
      <c r="K184" s="19"/>
    </row>
    <row r="185">
      <c r="A185" s="2"/>
      <c r="H185" s="16"/>
      <c r="I185" s="16"/>
      <c r="J185" s="16"/>
      <c r="K185" s="19"/>
    </row>
    <row r="186">
      <c r="A186" s="2"/>
      <c r="H186" s="16"/>
      <c r="I186" s="16"/>
      <c r="J186" s="16"/>
      <c r="K186" s="19"/>
    </row>
    <row r="187">
      <c r="A187" s="2"/>
      <c r="H187" s="16"/>
      <c r="I187" s="16"/>
      <c r="J187" s="16"/>
      <c r="K187" s="19"/>
    </row>
    <row r="188">
      <c r="A188" s="2"/>
      <c r="H188" s="16"/>
      <c r="I188" s="16"/>
      <c r="J188" s="16"/>
      <c r="K188" s="19"/>
    </row>
    <row r="189">
      <c r="A189" s="2"/>
      <c r="H189" s="16"/>
      <c r="I189" s="16"/>
      <c r="J189" s="16"/>
      <c r="K189" s="19"/>
    </row>
    <row r="190">
      <c r="A190" s="2"/>
      <c r="H190" s="16"/>
      <c r="I190" s="16"/>
      <c r="J190" s="16"/>
      <c r="K190" s="19"/>
    </row>
    <row r="191">
      <c r="A191" s="2"/>
      <c r="H191" s="16"/>
      <c r="I191" s="16"/>
      <c r="J191" s="16"/>
      <c r="K191" s="19"/>
    </row>
    <row r="192">
      <c r="A192" s="2"/>
      <c r="H192" s="16"/>
      <c r="I192" s="16"/>
      <c r="J192" s="16"/>
      <c r="K192" s="19"/>
    </row>
    <row r="193">
      <c r="A193" s="2"/>
      <c r="H193" s="16"/>
      <c r="I193" s="16"/>
      <c r="J193" s="16"/>
      <c r="K193" s="19"/>
    </row>
    <row r="194">
      <c r="A194" s="2"/>
      <c r="H194" s="16"/>
      <c r="I194" s="16"/>
      <c r="J194" s="16"/>
      <c r="K194" s="19"/>
    </row>
    <row r="195">
      <c r="A195" s="2"/>
      <c r="H195" s="16"/>
      <c r="I195" s="16"/>
      <c r="J195" s="16"/>
      <c r="K195" s="19"/>
    </row>
    <row r="196">
      <c r="A196" s="2"/>
      <c r="H196" s="16"/>
      <c r="I196" s="16"/>
      <c r="J196" s="16"/>
      <c r="K196" s="19"/>
    </row>
    <row r="197">
      <c r="A197" s="2"/>
      <c r="H197" s="16"/>
      <c r="I197" s="16"/>
      <c r="J197" s="16"/>
      <c r="K197" s="19"/>
    </row>
    <row r="198">
      <c r="A198" s="2"/>
      <c r="H198" s="16"/>
      <c r="I198" s="16"/>
      <c r="J198" s="16"/>
      <c r="K198" s="19"/>
    </row>
    <row r="199">
      <c r="A199" s="2"/>
      <c r="H199" s="16"/>
      <c r="I199" s="16"/>
      <c r="J199" s="16"/>
      <c r="K199" s="19"/>
    </row>
    <row r="200">
      <c r="A200" s="2"/>
      <c r="H200" s="16"/>
      <c r="I200" s="16"/>
      <c r="J200" s="16"/>
      <c r="K200" s="19"/>
    </row>
    <row r="201">
      <c r="A201" s="2"/>
      <c r="H201" s="16"/>
      <c r="I201" s="16"/>
      <c r="J201" s="16"/>
      <c r="K201" s="19"/>
    </row>
    <row r="202">
      <c r="A202" s="2"/>
      <c r="H202" s="16"/>
      <c r="I202" s="16"/>
      <c r="J202" s="16"/>
      <c r="K202" s="19"/>
    </row>
    <row r="203">
      <c r="A203" s="2"/>
      <c r="H203" s="16"/>
      <c r="I203" s="16"/>
      <c r="J203" s="16"/>
      <c r="K203" s="19"/>
    </row>
    <row r="204">
      <c r="A204" s="2"/>
      <c r="H204" s="16"/>
      <c r="I204" s="16"/>
      <c r="J204" s="16"/>
      <c r="K204" s="19"/>
    </row>
    <row r="205">
      <c r="A205" s="2"/>
      <c r="H205" s="16"/>
      <c r="I205" s="16"/>
      <c r="J205" s="16"/>
      <c r="K205" s="19"/>
    </row>
    <row r="206">
      <c r="A206" s="2"/>
      <c r="H206" s="16"/>
      <c r="I206" s="16"/>
      <c r="J206" s="16"/>
      <c r="K206" s="19"/>
    </row>
    <row r="207">
      <c r="A207" s="2"/>
      <c r="H207" s="16"/>
      <c r="I207" s="16"/>
      <c r="J207" s="16"/>
      <c r="K207" s="19"/>
    </row>
    <row r="208">
      <c r="A208" s="2"/>
      <c r="H208" s="16"/>
      <c r="I208" s="16"/>
      <c r="J208" s="16"/>
      <c r="K208" s="19"/>
    </row>
    <row r="209">
      <c r="A209" s="2"/>
      <c r="H209" s="16"/>
      <c r="I209" s="16"/>
      <c r="J209" s="16"/>
      <c r="K209" s="19"/>
    </row>
    <row r="210">
      <c r="A210" s="2"/>
      <c r="H210" s="16"/>
      <c r="I210" s="16"/>
      <c r="J210" s="16"/>
      <c r="K210" s="19"/>
    </row>
    <row r="211">
      <c r="A211" s="2"/>
      <c r="H211" s="16"/>
      <c r="I211" s="16"/>
      <c r="J211" s="16"/>
      <c r="K211" s="19"/>
    </row>
    <row r="212">
      <c r="A212" s="2"/>
      <c r="H212" s="16"/>
      <c r="I212" s="16"/>
      <c r="J212" s="16"/>
      <c r="K212" s="19"/>
    </row>
    <row r="213">
      <c r="A213" s="2"/>
      <c r="H213" s="16"/>
      <c r="I213" s="16"/>
      <c r="J213" s="16"/>
      <c r="K213" s="19"/>
    </row>
    <row r="214">
      <c r="A214" s="2"/>
      <c r="H214" s="16"/>
      <c r="I214" s="16"/>
      <c r="J214" s="16"/>
      <c r="K214" s="19"/>
    </row>
    <row r="215">
      <c r="A215" s="2"/>
      <c r="H215" s="16"/>
      <c r="I215" s="16"/>
      <c r="J215" s="16"/>
      <c r="K215" s="19"/>
    </row>
    <row r="216">
      <c r="A216" s="2"/>
      <c r="H216" s="16"/>
      <c r="I216" s="16"/>
      <c r="J216" s="16"/>
      <c r="K216" s="19"/>
    </row>
    <row r="217">
      <c r="A217" s="2"/>
      <c r="H217" s="16"/>
      <c r="I217" s="16"/>
      <c r="J217" s="16"/>
      <c r="K217" s="19"/>
    </row>
    <row r="218">
      <c r="A218" s="2"/>
      <c r="H218" s="16"/>
      <c r="I218" s="16"/>
      <c r="J218" s="16"/>
      <c r="K218" s="19"/>
    </row>
    <row r="219">
      <c r="A219" s="2"/>
      <c r="H219" s="16"/>
      <c r="I219" s="16"/>
      <c r="J219" s="16"/>
      <c r="K219" s="19"/>
    </row>
    <row r="220">
      <c r="A220" s="2"/>
      <c r="H220" s="16"/>
      <c r="I220" s="16"/>
      <c r="J220" s="16"/>
      <c r="K220" s="19"/>
    </row>
    <row r="221">
      <c r="A221" s="2"/>
      <c r="H221" s="16"/>
      <c r="I221" s="16"/>
      <c r="J221" s="16"/>
      <c r="K221" s="19"/>
    </row>
    <row r="222">
      <c r="A222" s="2"/>
      <c r="H222" s="16"/>
      <c r="I222" s="16"/>
      <c r="J222" s="16"/>
      <c r="K222" s="19"/>
    </row>
    <row r="223">
      <c r="A223" s="2"/>
      <c r="H223" s="16"/>
      <c r="I223" s="16"/>
      <c r="J223" s="16"/>
      <c r="K223" s="19"/>
    </row>
    <row r="224">
      <c r="A224" s="2"/>
      <c r="H224" s="16"/>
      <c r="I224" s="16"/>
      <c r="J224" s="16"/>
      <c r="K224" s="19"/>
    </row>
    <row r="225">
      <c r="A225" s="2"/>
      <c r="H225" s="16"/>
      <c r="I225" s="16"/>
      <c r="J225" s="16"/>
      <c r="K225" s="19"/>
    </row>
    <row r="226">
      <c r="A226" s="2"/>
      <c r="H226" s="16"/>
      <c r="I226" s="16"/>
      <c r="J226" s="16"/>
      <c r="K226" s="19"/>
    </row>
    <row r="227">
      <c r="A227" s="2"/>
      <c r="H227" s="16"/>
      <c r="I227" s="16"/>
      <c r="J227" s="16"/>
      <c r="K227" s="19"/>
    </row>
    <row r="228">
      <c r="A228" s="2"/>
      <c r="H228" s="16"/>
      <c r="I228" s="16"/>
      <c r="J228" s="16"/>
      <c r="K228" s="19"/>
    </row>
    <row r="229">
      <c r="A229" s="2"/>
      <c r="H229" s="16"/>
      <c r="I229" s="16"/>
      <c r="J229" s="16"/>
      <c r="K229" s="19"/>
    </row>
    <row r="230">
      <c r="A230" s="2"/>
      <c r="H230" s="16"/>
      <c r="I230" s="16"/>
      <c r="J230" s="16"/>
      <c r="K230" s="19"/>
    </row>
    <row r="231">
      <c r="A231" s="2"/>
      <c r="H231" s="16"/>
      <c r="I231" s="16"/>
      <c r="J231" s="16"/>
      <c r="K231" s="19"/>
    </row>
    <row r="232">
      <c r="A232" s="2"/>
      <c r="H232" s="16"/>
      <c r="I232" s="16"/>
      <c r="J232" s="16"/>
      <c r="K232" s="19"/>
    </row>
    <row r="233">
      <c r="A233" s="2"/>
      <c r="H233" s="16"/>
      <c r="I233" s="16"/>
      <c r="J233" s="16"/>
      <c r="K233" s="19"/>
    </row>
    <row r="234">
      <c r="A234" s="2"/>
      <c r="H234" s="16"/>
      <c r="I234" s="16"/>
      <c r="J234" s="16"/>
      <c r="K234" s="19"/>
    </row>
    <row r="235">
      <c r="A235" s="2"/>
      <c r="H235" s="16"/>
      <c r="I235" s="16"/>
      <c r="J235" s="16"/>
      <c r="K235" s="19"/>
    </row>
    <row r="236">
      <c r="A236" s="2"/>
      <c r="H236" s="16"/>
      <c r="I236" s="16"/>
      <c r="J236" s="16"/>
      <c r="K236" s="19"/>
    </row>
    <row r="237">
      <c r="A237" s="2"/>
      <c r="H237" s="16"/>
      <c r="I237" s="16"/>
      <c r="J237" s="16"/>
      <c r="K237" s="19"/>
    </row>
    <row r="238">
      <c r="A238" s="2"/>
      <c r="H238" s="16"/>
      <c r="I238" s="16"/>
      <c r="J238" s="16"/>
      <c r="K238" s="19"/>
    </row>
    <row r="239">
      <c r="A239" s="2"/>
      <c r="H239" s="16"/>
      <c r="I239" s="16"/>
      <c r="J239" s="16"/>
      <c r="K239" s="19"/>
    </row>
    <row r="240">
      <c r="A240" s="2"/>
      <c r="H240" s="16"/>
      <c r="I240" s="16"/>
      <c r="J240" s="16"/>
      <c r="K240" s="19"/>
    </row>
    <row r="241">
      <c r="A241" s="2"/>
      <c r="H241" s="16"/>
      <c r="I241" s="16"/>
      <c r="J241" s="16"/>
      <c r="K241" s="19"/>
    </row>
    <row r="242">
      <c r="A242" s="2"/>
      <c r="H242" s="16"/>
      <c r="I242" s="16"/>
      <c r="J242" s="16"/>
      <c r="K242" s="19"/>
    </row>
    <row r="243">
      <c r="A243" s="2"/>
      <c r="H243" s="16"/>
      <c r="I243" s="16"/>
      <c r="J243" s="16"/>
      <c r="K243" s="19"/>
    </row>
    <row r="244">
      <c r="A244" s="2"/>
      <c r="H244" s="16"/>
      <c r="I244" s="16"/>
      <c r="J244" s="16"/>
      <c r="K244" s="19"/>
    </row>
    <row r="245">
      <c r="A245" s="2"/>
      <c r="H245" s="16"/>
      <c r="I245" s="16"/>
      <c r="J245" s="16"/>
      <c r="K245" s="19"/>
    </row>
    <row r="246">
      <c r="A246" s="2"/>
      <c r="H246" s="16"/>
      <c r="I246" s="16"/>
      <c r="J246" s="16"/>
      <c r="K246" s="19"/>
    </row>
    <row r="247">
      <c r="A247" s="2"/>
      <c r="H247" s="16"/>
      <c r="I247" s="16"/>
      <c r="J247" s="16"/>
      <c r="K247" s="19"/>
    </row>
    <row r="248">
      <c r="A248" s="2"/>
      <c r="H248" s="16"/>
      <c r="I248" s="16"/>
      <c r="J248" s="16"/>
      <c r="K248" s="19"/>
    </row>
    <row r="249">
      <c r="A249" s="2"/>
      <c r="H249" s="16"/>
      <c r="I249" s="16"/>
      <c r="J249" s="16"/>
      <c r="K249" s="19"/>
    </row>
    <row r="250">
      <c r="A250" s="2"/>
      <c r="H250" s="16"/>
      <c r="I250" s="16"/>
      <c r="J250" s="16"/>
      <c r="K250" s="19"/>
    </row>
    <row r="251">
      <c r="A251" s="2"/>
      <c r="H251" s="16"/>
      <c r="I251" s="16"/>
      <c r="J251" s="16"/>
      <c r="K251" s="19"/>
    </row>
    <row r="252">
      <c r="A252" s="2"/>
      <c r="H252" s="16"/>
      <c r="I252" s="16"/>
      <c r="J252" s="16"/>
      <c r="K252" s="19"/>
    </row>
    <row r="253">
      <c r="A253" s="2"/>
      <c r="H253" s="16"/>
      <c r="I253" s="16"/>
      <c r="J253" s="16"/>
      <c r="K253" s="19"/>
    </row>
    <row r="254">
      <c r="A254" s="2"/>
      <c r="H254" s="16"/>
      <c r="I254" s="16"/>
      <c r="J254" s="16"/>
      <c r="K254" s="19"/>
    </row>
    <row r="255">
      <c r="A255" s="2"/>
      <c r="H255" s="16"/>
      <c r="I255" s="16"/>
      <c r="J255" s="16"/>
      <c r="K255" s="19"/>
    </row>
    <row r="256">
      <c r="A256" s="2"/>
      <c r="H256" s="16"/>
      <c r="I256" s="16"/>
      <c r="J256" s="16"/>
      <c r="K256" s="19"/>
    </row>
    <row r="257">
      <c r="A257" s="2"/>
      <c r="H257" s="16"/>
      <c r="I257" s="16"/>
      <c r="J257" s="16"/>
      <c r="K257" s="19"/>
    </row>
    <row r="258">
      <c r="A258" s="2"/>
      <c r="H258" s="16"/>
      <c r="I258" s="16"/>
      <c r="J258" s="16"/>
      <c r="K258" s="19"/>
    </row>
    <row r="259">
      <c r="A259" s="2"/>
      <c r="H259" s="16"/>
      <c r="I259" s="16"/>
      <c r="J259" s="16"/>
      <c r="K259" s="19"/>
    </row>
    <row r="260">
      <c r="A260" s="2"/>
      <c r="H260" s="16"/>
      <c r="I260" s="16"/>
      <c r="J260" s="16"/>
      <c r="K260" s="19"/>
    </row>
    <row r="261">
      <c r="A261" s="2"/>
      <c r="H261" s="16"/>
      <c r="I261" s="16"/>
      <c r="J261" s="16"/>
      <c r="K261" s="19"/>
    </row>
    <row r="262">
      <c r="A262" s="2"/>
      <c r="H262" s="16"/>
      <c r="I262" s="16"/>
      <c r="J262" s="16"/>
      <c r="K262" s="19"/>
    </row>
    <row r="263">
      <c r="A263" s="2"/>
      <c r="H263" s="16"/>
      <c r="I263" s="16"/>
      <c r="J263" s="16"/>
      <c r="K263" s="19"/>
    </row>
    <row r="264">
      <c r="A264" s="2"/>
      <c r="H264" s="16"/>
      <c r="I264" s="16"/>
      <c r="J264" s="16"/>
      <c r="K264" s="19"/>
    </row>
    <row r="265">
      <c r="A265" s="2"/>
      <c r="H265" s="16"/>
      <c r="I265" s="16"/>
      <c r="J265" s="16"/>
      <c r="K265" s="19"/>
    </row>
    <row r="266">
      <c r="A266" s="2"/>
      <c r="H266" s="16"/>
      <c r="I266" s="16"/>
      <c r="J266" s="16"/>
      <c r="K266" s="19"/>
    </row>
    <row r="267">
      <c r="A267" s="2"/>
      <c r="H267" s="16"/>
      <c r="I267" s="16"/>
      <c r="J267" s="16"/>
      <c r="K267" s="19"/>
    </row>
    <row r="268">
      <c r="A268" s="2"/>
      <c r="H268" s="16"/>
      <c r="I268" s="16"/>
      <c r="J268" s="16"/>
      <c r="K268" s="19"/>
    </row>
    <row r="269">
      <c r="A269" s="2"/>
      <c r="H269" s="16"/>
      <c r="I269" s="16"/>
      <c r="J269" s="16"/>
      <c r="K269" s="19"/>
    </row>
    <row r="270">
      <c r="A270" s="2"/>
      <c r="H270" s="16"/>
      <c r="I270" s="16"/>
      <c r="J270" s="16"/>
      <c r="K270" s="19"/>
    </row>
    <row r="271">
      <c r="A271" s="2"/>
      <c r="H271" s="16"/>
      <c r="I271" s="16"/>
      <c r="J271" s="16"/>
      <c r="K271" s="19"/>
    </row>
    <row r="272">
      <c r="A272" s="2"/>
      <c r="H272" s="16"/>
      <c r="I272" s="16"/>
      <c r="J272" s="16"/>
      <c r="K272" s="19"/>
    </row>
    <row r="273">
      <c r="A273" s="2"/>
      <c r="H273" s="16"/>
      <c r="I273" s="16"/>
      <c r="J273" s="16"/>
      <c r="K273" s="19"/>
    </row>
    <row r="274">
      <c r="A274" s="2"/>
      <c r="H274" s="16"/>
      <c r="I274" s="16"/>
      <c r="J274" s="16"/>
      <c r="K274" s="19"/>
    </row>
    <row r="275">
      <c r="A275" s="2"/>
      <c r="H275" s="16"/>
      <c r="I275" s="16"/>
      <c r="J275" s="16"/>
      <c r="K275" s="19"/>
    </row>
    <row r="276">
      <c r="A276" s="2"/>
      <c r="H276" s="16"/>
      <c r="I276" s="16"/>
      <c r="J276" s="16"/>
      <c r="K276" s="19"/>
    </row>
    <row r="277">
      <c r="A277" s="2"/>
      <c r="H277" s="16"/>
      <c r="I277" s="16"/>
      <c r="J277" s="16"/>
      <c r="K277" s="19"/>
    </row>
    <row r="278">
      <c r="A278" s="2"/>
      <c r="H278" s="16"/>
      <c r="I278" s="16"/>
      <c r="J278" s="16"/>
      <c r="K278" s="19"/>
    </row>
    <row r="279">
      <c r="A279" s="2"/>
      <c r="H279" s="16"/>
      <c r="I279" s="16"/>
      <c r="J279" s="16"/>
      <c r="K279" s="19"/>
    </row>
    <row r="280">
      <c r="A280" s="2"/>
      <c r="H280" s="16"/>
      <c r="I280" s="16"/>
      <c r="J280" s="16"/>
      <c r="K280" s="19"/>
    </row>
    <row r="281">
      <c r="A281" s="2"/>
      <c r="H281" s="16"/>
      <c r="I281" s="16"/>
      <c r="J281" s="16"/>
      <c r="K281" s="19"/>
    </row>
    <row r="282">
      <c r="A282" s="2"/>
      <c r="H282" s="16"/>
      <c r="I282" s="16"/>
      <c r="J282" s="16"/>
      <c r="K282" s="19"/>
    </row>
    <row r="283">
      <c r="A283" s="2"/>
      <c r="H283" s="16"/>
      <c r="I283" s="16"/>
      <c r="J283" s="16"/>
      <c r="K283" s="19"/>
    </row>
    <row r="284">
      <c r="A284" s="2"/>
      <c r="H284" s="16"/>
      <c r="I284" s="16"/>
      <c r="J284" s="16"/>
      <c r="K284" s="19"/>
    </row>
    <row r="285">
      <c r="A285" s="2"/>
      <c r="H285" s="16"/>
      <c r="I285" s="16"/>
      <c r="J285" s="16"/>
      <c r="K285" s="19"/>
    </row>
    <row r="286">
      <c r="A286" s="2"/>
      <c r="H286" s="16"/>
      <c r="I286" s="16"/>
      <c r="J286" s="16"/>
      <c r="K286" s="19"/>
    </row>
    <row r="287">
      <c r="A287" s="2"/>
      <c r="H287" s="16"/>
      <c r="I287" s="16"/>
      <c r="J287" s="16"/>
      <c r="K287" s="19"/>
    </row>
    <row r="288">
      <c r="A288" s="2"/>
      <c r="H288" s="16"/>
      <c r="I288" s="16"/>
      <c r="J288" s="16"/>
      <c r="K288" s="19"/>
    </row>
    <row r="289">
      <c r="A289" s="2"/>
      <c r="H289" s="16"/>
      <c r="I289" s="16"/>
      <c r="J289" s="16"/>
      <c r="K289" s="19"/>
    </row>
    <row r="290">
      <c r="A290" s="2"/>
      <c r="H290" s="16"/>
      <c r="I290" s="16"/>
      <c r="J290" s="16"/>
      <c r="K290" s="19"/>
    </row>
    <row r="291">
      <c r="A291" s="2"/>
      <c r="H291" s="16"/>
      <c r="I291" s="16"/>
      <c r="J291" s="16"/>
      <c r="K291" s="19"/>
    </row>
    <row r="292">
      <c r="A292" s="2"/>
      <c r="H292" s="16"/>
      <c r="I292" s="16"/>
      <c r="J292" s="16"/>
      <c r="K292" s="19"/>
    </row>
    <row r="293">
      <c r="A293" s="2"/>
      <c r="H293" s="16"/>
      <c r="I293" s="16"/>
      <c r="J293" s="16"/>
      <c r="K293" s="19"/>
    </row>
    <row r="294">
      <c r="A294" s="2"/>
      <c r="H294" s="16"/>
      <c r="I294" s="16"/>
      <c r="J294" s="16"/>
      <c r="K294" s="19"/>
    </row>
    <row r="295">
      <c r="A295" s="2"/>
      <c r="H295" s="16"/>
      <c r="I295" s="16"/>
      <c r="J295" s="16"/>
      <c r="K295" s="19"/>
    </row>
    <row r="296">
      <c r="A296" s="2"/>
      <c r="H296" s="16"/>
      <c r="I296" s="16"/>
      <c r="J296" s="16"/>
      <c r="K296" s="19"/>
    </row>
    <row r="297">
      <c r="A297" s="2"/>
      <c r="H297" s="16"/>
      <c r="I297" s="16"/>
      <c r="J297" s="16"/>
      <c r="K297" s="19"/>
    </row>
    <row r="298">
      <c r="A298" s="2"/>
      <c r="H298" s="16"/>
      <c r="I298" s="16"/>
      <c r="J298" s="16"/>
      <c r="K298" s="19"/>
    </row>
    <row r="299">
      <c r="A299" s="2"/>
      <c r="H299" s="16"/>
      <c r="I299" s="16"/>
      <c r="J299" s="16"/>
      <c r="K299" s="19"/>
    </row>
    <row r="300">
      <c r="A300" s="2"/>
      <c r="H300" s="16"/>
      <c r="I300" s="16"/>
      <c r="J300" s="16"/>
      <c r="K300" s="19"/>
    </row>
    <row r="301">
      <c r="A301" s="2"/>
      <c r="H301" s="16"/>
      <c r="I301" s="16"/>
      <c r="J301" s="16"/>
      <c r="K301" s="19"/>
    </row>
    <row r="302">
      <c r="A302" s="2"/>
      <c r="H302" s="16"/>
      <c r="I302" s="16"/>
      <c r="J302" s="16"/>
      <c r="K302" s="19"/>
    </row>
    <row r="303">
      <c r="A303" s="2"/>
      <c r="H303" s="16"/>
      <c r="I303" s="16"/>
      <c r="J303" s="16"/>
      <c r="K303" s="19"/>
    </row>
    <row r="304">
      <c r="A304" s="2"/>
      <c r="H304" s="16"/>
      <c r="I304" s="16"/>
      <c r="J304" s="16"/>
      <c r="K304" s="19"/>
    </row>
    <row r="305">
      <c r="A305" s="2"/>
      <c r="H305" s="16"/>
      <c r="I305" s="16"/>
      <c r="J305" s="16"/>
      <c r="K305" s="19"/>
    </row>
    <row r="306">
      <c r="A306" s="2"/>
      <c r="H306" s="16"/>
      <c r="I306" s="16"/>
      <c r="J306" s="16"/>
      <c r="K306" s="19"/>
    </row>
    <row r="307">
      <c r="A307" s="2"/>
      <c r="H307" s="16"/>
      <c r="I307" s="16"/>
      <c r="J307" s="16"/>
      <c r="K307" s="19"/>
    </row>
    <row r="308">
      <c r="A308" s="2"/>
      <c r="H308" s="16"/>
      <c r="I308" s="16"/>
      <c r="J308" s="16"/>
      <c r="K308" s="19"/>
    </row>
    <row r="309">
      <c r="A309" s="2"/>
      <c r="H309" s="16"/>
      <c r="I309" s="16"/>
      <c r="J309" s="16"/>
      <c r="K309" s="19"/>
    </row>
    <row r="310">
      <c r="A310" s="2"/>
      <c r="H310" s="16"/>
      <c r="I310" s="16"/>
      <c r="J310" s="16"/>
      <c r="K310" s="19"/>
    </row>
    <row r="311">
      <c r="A311" s="2"/>
      <c r="H311" s="16"/>
      <c r="I311" s="16"/>
      <c r="J311" s="16"/>
      <c r="K311" s="19"/>
    </row>
    <row r="312">
      <c r="A312" s="2"/>
      <c r="H312" s="16"/>
      <c r="I312" s="16"/>
      <c r="J312" s="16"/>
      <c r="K312" s="19"/>
    </row>
    <row r="313">
      <c r="A313" s="2"/>
      <c r="H313" s="16"/>
      <c r="I313" s="16"/>
      <c r="J313" s="16"/>
      <c r="K313" s="19"/>
    </row>
    <row r="314">
      <c r="A314" s="2"/>
      <c r="H314" s="16"/>
      <c r="I314" s="16"/>
      <c r="J314" s="16"/>
      <c r="K314" s="19"/>
    </row>
    <row r="315">
      <c r="A315" s="2"/>
      <c r="H315" s="16"/>
      <c r="I315" s="16"/>
      <c r="J315" s="16"/>
      <c r="K315" s="19"/>
    </row>
    <row r="316">
      <c r="A316" s="2"/>
      <c r="H316" s="16"/>
      <c r="I316" s="16"/>
      <c r="J316" s="16"/>
      <c r="K316" s="19"/>
    </row>
    <row r="317">
      <c r="A317" s="2"/>
      <c r="H317" s="16"/>
      <c r="I317" s="16"/>
      <c r="J317" s="16"/>
      <c r="K317" s="19"/>
    </row>
    <row r="318">
      <c r="A318" s="2"/>
      <c r="H318" s="16"/>
      <c r="I318" s="16"/>
      <c r="J318" s="16"/>
      <c r="K318" s="19"/>
    </row>
    <row r="319">
      <c r="A319" s="2"/>
      <c r="H319" s="16"/>
      <c r="I319" s="16"/>
      <c r="J319" s="16"/>
      <c r="K319" s="19"/>
    </row>
    <row r="320">
      <c r="A320" s="2"/>
      <c r="H320" s="16"/>
      <c r="I320" s="16"/>
      <c r="J320" s="16"/>
      <c r="K320" s="19"/>
    </row>
    <row r="321">
      <c r="A321" s="2"/>
      <c r="H321" s="16"/>
      <c r="I321" s="16"/>
      <c r="J321" s="16"/>
      <c r="K321" s="19"/>
    </row>
    <row r="322">
      <c r="A322" s="2"/>
      <c r="H322" s="16"/>
      <c r="I322" s="16"/>
      <c r="J322" s="16"/>
      <c r="K322" s="19"/>
    </row>
    <row r="323">
      <c r="A323" s="2"/>
      <c r="H323" s="16"/>
      <c r="I323" s="16"/>
      <c r="J323" s="16"/>
      <c r="K323" s="19"/>
    </row>
    <row r="324">
      <c r="A324" s="2"/>
      <c r="H324" s="16"/>
      <c r="I324" s="16"/>
      <c r="J324" s="16"/>
      <c r="K324" s="19"/>
    </row>
    <row r="325">
      <c r="A325" s="2"/>
      <c r="H325" s="16"/>
      <c r="I325" s="16"/>
      <c r="J325" s="16"/>
      <c r="K325" s="19"/>
    </row>
    <row r="326">
      <c r="A326" s="2"/>
      <c r="H326" s="16"/>
      <c r="I326" s="16"/>
      <c r="J326" s="16"/>
      <c r="K326" s="19"/>
    </row>
    <row r="327">
      <c r="A327" s="2"/>
      <c r="H327" s="16"/>
      <c r="I327" s="16"/>
      <c r="J327" s="16"/>
      <c r="K327" s="19"/>
    </row>
    <row r="328">
      <c r="A328" s="2"/>
      <c r="H328" s="16"/>
      <c r="I328" s="16"/>
      <c r="J328" s="16"/>
      <c r="K328" s="19"/>
    </row>
    <row r="329">
      <c r="A329" s="2"/>
      <c r="H329" s="16"/>
      <c r="I329" s="16"/>
      <c r="J329" s="16"/>
      <c r="K329" s="19"/>
    </row>
    <row r="330">
      <c r="A330" s="2"/>
      <c r="H330" s="16"/>
      <c r="I330" s="16"/>
      <c r="J330" s="16"/>
      <c r="K330" s="19"/>
    </row>
    <row r="331">
      <c r="A331" s="2"/>
      <c r="H331" s="16"/>
      <c r="I331" s="16"/>
      <c r="J331" s="16"/>
      <c r="K331" s="19"/>
    </row>
    <row r="332">
      <c r="A332" s="2"/>
      <c r="H332" s="16"/>
      <c r="I332" s="16"/>
      <c r="J332" s="16"/>
      <c r="K332" s="19"/>
    </row>
    <row r="333">
      <c r="A333" s="2"/>
      <c r="H333" s="16"/>
      <c r="I333" s="16"/>
      <c r="J333" s="16"/>
      <c r="K333" s="19"/>
    </row>
    <row r="334">
      <c r="A334" s="2"/>
      <c r="H334" s="16"/>
      <c r="I334" s="16"/>
      <c r="J334" s="16"/>
      <c r="K334" s="19"/>
    </row>
    <row r="335">
      <c r="A335" s="2"/>
      <c r="H335" s="16"/>
      <c r="I335" s="16"/>
      <c r="J335" s="16"/>
      <c r="K335" s="19"/>
    </row>
    <row r="336">
      <c r="A336" s="2"/>
      <c r="H336" s="16"/>
      <c r="I336" s="16"/>
      <c r="J336" s="16"/>
      <c r="K336" s="19"/>
    </row>
    <row r="337">
      <c r="A337" s="2"/>
      <c r="H337" s="16"/>
      <c r="I337" s="16"/>
      <c r="J337" s="16"/>
      <c r="K337" s="19"/>
    </row>
    <row r="338">
      <c r="A338" s="2"/>
      <c r="H338" s="16"/>
      <c r="I338" s="16"/>
      <c r="J338" s="16"/>
      <c r="K338" s="19"/>
    </row>
    <row r="339">
      <c r="A339" s="2"/>
      <c r="H339" s="16"/>
      <c r="I339" s="16"/>
      <c r="J339" s="16"/>
      <c r="K339" s="19"/>
    </row>
    <row r="340">
      <c r="A340" s="2"/>
      <c r="H340" s="16"/>
      <c r="I340" s="16"/>
      <c r="J340" s="16"/>
      <c r="K340" s="19"/>
    </row>
    <row r="341">
      <c r="A341" s="2"/>
      <c r="H341" s="16"/>
      <c r="I341" s="16"/>
      <c r="J341" s="16"/>
      <c r="K341" s="19"/>
    </row>
    <row r="342">
      <c r="A342" s="2"/>
      <c r="H342" s="16"/>
      <c r="I342" s="16"/>
      <c r="J342" s="16"/>
      <c r="K342" s="19"/>
    </row>
    <row r="343">
      <c r="A343" s="2"/>
      <c r="H343" s="16"/>
      <c r="I343" s="16"/>
      <c r="J343" s="16"/>
      <c r="K343" s="19"/>
    </row>
    <row r="344">
      <c r="A344" s="2"/>
      <c r="H344" s="16"/>
      <c r="I344" s="16"/>
      <c r="J344" s="16"/>
      <c r="K344" s="19"/>
    </row>
    <row r="345">
      <c r="A345" s="2"/>
      <c r="H345" s="16"/>
      <c r="I345" s="16"/>
      <c r="J345" s="16"/>
      <c r="K345" s="19"/>
    </row>
    <row r="346">
      <c r="A346" s="2"/>
      <c r="H346" s="16"/>
      <c r="I346" s="16"/>
      <c r="J346" s="16"/>
      <c r="K346" s="19"/>
    </row>
    <row r="347">
      <c r="A347" s="2"/>
      <c r="H347" s="16"/>
      <c r="I347" s="16"/>
      <c r="J347" s="16"/>
      <c r="K347" s="19"/>
    </row>
    <row r="348">
      <c r="A348" s="2"/>
      <c r="H348" s="16"/>
      <c r="I348" s="16"/>
      <c r="J348" s="16"/>
      <c r="K348" s="19"/>
    </row>
    <row r="349">
      <c r="A349" s="2"/>
      <c r="H349" s="16"/>
      <c r="I349" s="16"/>
      <c r="J349" s="16"/>
      <c r="K349" s="19"/>
    </row>
    <row r="350">
      <c r="A350" s="2"/>
      <c r="H350" s="16"/>
      <c r="I350" s="16"/>
      <c r="J350" s="16"/>
      <c r="K350" s="19"/>
    </row>
    <row r="351">
      <c r="A351" s="2"/>
      <c r="H351" s="16"/>
      <c r="I351" s="16"/>
      <c r="J351" s="16"/>
      <c r="K351" s="19"/>
    </row>
    <row r="352">
      <c r="A352" s="2"/>
      <c r="H352" s="16"/>
      <c r="I352" s="16"/>
      <c r="J352" s="16"/>
      <c r="K352" s="19"/>
    </row>
    <row r="353">
      <c r="A353" s="2"/>
      <c r="H353" s="16"/>
      <c r="I353" s="16"/>
      <c r="J353" s="16"/>
      <c r="K353" s="19"/>
    </row>
    <row r="354">
      <c r="A354" s="2"/>
      <c r="H354" s="16"/>
      <c r="I354" s="16"/>
      <c r="J354" s="16"/>
      <c r="K354" s="19"/>
    </row>
    <row r="355">
      <c r="A355" s="2"/>
      <c r="H355" s="16"/>
      <c r="I355" s="16"/>
      <c r="J355" s="16"/>
      <c r="K355" s="19"/>
    </row>
    <row r="356">
      <c r="A356" s="2"/>
      <c r="H356" s="16"/>
      <c r="I356" s="16"/>
      <c r="J356" s="16"/>
      <c r="K356" s="19"/>
    </row>
    <row r="357">
      <c r="A357" s="2"/>
      <c r="H357" s="16"/>
      <c r="I357" s="16"/>
      <c r="J357" s="16"/>
      <c r="K357" s="19"/>
    </row>
    <row r="358">
      <c r="A358" s="2"/>
      <c r="H358" s="16"/>
      <c r="I358" s="16"/>
      <c r="J358" s="16"/>
      <c r="K358" s="19"/>
    </row>
    <row r="359">
      <c r="A359" s="2"/>
      <c r="H359" s="16"/>
      <c r="I359" s="16"/>
      <c r="J359" s="16"/>
      <c r="K359" s="19"/>
    </row>
    <row r="360">
      <c r="A360" s="2"/>
      <c r="H360" s="16"/>
      <c r="I360" s="16"/>
      <c r="J360" s="16"/>
      <c r="K360" s="19"/>
    </row>
    <row r="361">
      <c r="A361" s="2"/>
      <c r="H361" s="16"/>
      <c r="I361" s="16"/>
      <c r="J361" s="16"/>
      <c r="K361" s="19"/>
    </row>
    <row r="362">
      <c r="A362" s="2"/>
      <c r="H362" s="16"/>
      <c r="I362" s="16"/>
      <c r="J362" s="16"/>
      <c r="K362" s="19"/>
    </row>
    <row r="363">
      <c r="A363" s="2"/>
      <c r="H363" s="16"/>
      <c r="I363" s="16"/>
      <c r="J363" s="16"/>
      <c r="K363" s="19"/>
    </row>
    <row r="364">
      <c r="A364" s="2"/>
      <c r="H364" s="16"/>
      <c r="I364" s="16"/>
      <c r="J364" s="16"/>
      <c r="K364" s="19"/>
    </row>
    <row r="365">
      <c r="A365" s="2"/>
      <c r="H365" s="16"/>
      <c r="I365" s="16"/>
      <c r="J365" s="16"/>
      <c r="K365" s="19"/>
    </row>
    <row r="366">
      <c r="A366" s="2"/>
      <c r="H366" s="16"/>
      <c r="I366" s="16"/>
      <c r="J366" s="16"/>
      <c r="K366" s="19"/>
    </row>
    <row r="367">
      <c r="A367" s="2"/>
      <c r="H367" s="16"/>
      <c r="I367" s="16"/>
      <c r="J367" s="16"/>
      <c r="K367" s="19"/>
    </row>
    <row r="368">
      <c r="A368" s="2"/>
      <c r="H368" s="16"/>
      <c r="I368" s="16"/>
      <c r="J368" s="16"/>
      <c r="K368" s="19"/>
    </row>
    <row r="369">
      <c r="A369" s="2"/>
      <c r="H369" s="16"/>
      <c r="I369" s="16"/>
      <c r="J369" s="16"/>
      <c r="K369" s="19"/>
    </row>
    <row r="370">
      <c r="A370" s="2"/>
      <c r="H370" s="16"/>
      <c r="I370" s="16"/>
      <c r="J370" s="16"/>
      <c r="K370" s="19"/>
    </row>
    <row r="371">
      <c r="A371" s="2"/>
      <c r="H371" s="16"/>
      <c r="I371" s="16"/>
      <c r="J371" s="16"/>
      <c r="K371" s="19"/>
    </row>
    <row r="372">
      <c r="A372" s="2"/>
      <c r="H372" s="16"/>
      <c r="I372" s="16"/>
      <c r="J372" s="16"/>
      <c r="K372" s="19"/>
    </row>
    <row r="373">
      <c r="A373" s="2"/>
      <c r="H373" s="16"/>
      <c r="I373" s="16"/>
      <c r="J373" s="16"/>
      <c r="K373" s="19"/>
    </row>
    <row r="374">
      <c r="A374" s="2"/>
      <c r="H374" s="16"/>
      <c r="I374" s="16"/>
      <c r="J374" s="16"/>
      <c r="K374" s="19"/>
    </row>
    <row r="375">
      <c r="A375" s="2"/>
      <c r="H375" s="16"/>
      <c r="I375" s="16"/>
      <c r="J375" s="16"/>
      <c r="K375" s="19"/>
    </row>
    <row r="376">
      <c r="A376" s="2"/>
      <c r="H376" s="16"/>
      <c r="I376" s="16"/>
      <c r="J376" s="16"/>
      <c r="K376" s="19"/>
    </row>
    <row r="377">
      <c r="A377" s="2"/>
      <c r="H377" s="16"/>
      <c r="I377" s="16"/>
      <c r="J377" s="16"/>
      <c r="K377" s="19"/>
    </row>
    <row r="378">
      <c r="A378" s="2"/>
      <c r="H378" s="16"/>
      <c r="I378" s="16"/>
      <c r="J378" s="16"/>
      <c r="K378" s="19"/>
    </row>
    <row r="379">
      <c r="A379" s="2"/>
      <c r="H379" s="16"/>
      <c r="I379" s="16"/>
      <c r="J379" s="16"/>
      <c r="K379" s="19"/>
    </row>
    <row r="380">
      <c r="A380" s="2"/>
      <c r="H380" s="16"/>
      <c r="I380" s="16"/>
      <c r="J380" s="16"/>
      <c r="K380" s="19"/>
    </row>
    <row r="381">
      <c r="A381" s="2"/>
      <c r="H381" s="16"/>
      <c r="I381" s="16"/>
      <c r="J381" s="16"/>
      <c r="K381" s="19"/>
    </row>
    <row r="382">
      <c r="A382" s="2"/>
      <c r="H382" s="16"/>
      <c r="I382" s="16"/>
      <c r="J382" s="16"/>
      <c r="K382" s="19"/>
    </row>
    <row r="383">
      <c r="A383" s="2"/>
      <c r="H383" s="16"/>
      <c r="I383" s="16"/>
      <c r="J383" s="16"/>
      <c r="K383" s="19"/>
    </row>
    <row r="384">
      <c r="A384" s="2"/>
      <c r="H384" s="16"/>
      <c r="I384" s="16"/>
      <c r="J384" s="16"/>
      <c r="K384" s="19"/>
    </row>
    <row r="385">
      <c r="A385" s="2"/>
      <c r="H385" s="16"/>
      <c r="I385" s="16"/>
      <c r="J385" s="16"/>
      <c r="K385" s="19"/>
    </row>
    <row r="386">
      <c r="A386" s="2"/>
      <c r="H386" s="16"/>
      <c r="I386" s="16"/>
      <c r="J386" s="16"/>
      <c r="K386" s="19"/>
    </row>
    <row r="387">
      <c r="A387" s="2"/>
      <c r="H387" s="16"/>
      <c r="I387" s="16"/>
      <c r="J387" s="16"/>
      <c r="K387" s="19"/>
    </row>
    <row r="388">
      <c r="A388" s="2"/>
      <c r="H388" s="16"/>
      <c r="I388" s="16"/>
      <c r="J388" s="16"/>
      <c r="K388" s="19"/>
    </row>
    <row r="389">
      <c r="A389" s="2"/>
      <c r="H389" s="16"/>
      <c r="I389" s="16"/>
      <c r="J389" s="16"/>
      <c r="K389" s="19"/>
    </row>
    <row r="390">
      <c r="A390" s="2"/>
      <c r="H390" s="16"/>
      <c r="I390" s="16"/>
      <c r="J390" s="16"/>
      <c r="K390" s="19"/>
    </row>
    <row r="391">
      <c r="A391" s="2"/>
      <c r="H391" s="16"/>
      <c r="I391" s="16"/>
      <c r="J391" s="16"/>
      <c r="K391" s="19"/>
    </row>
    <row r="392">
      <c r="A392" s="2"/>
      <c r="H392" s="16"/>
      <c r="I392" s="16"/>
      <c r="J392" s="16"/>
      <c r="K392" s="19"/>
    </row>
    <row r="393">
      <c r="A393" s="2"/>
      <c r="H393" s="16"/>
      <c r="I393" s="16"/>
      <c r="J393" s="16"/>
      <c r="K393" s="19"/>
    </row>
    <row r="394">
      <c r="A394" s="2"/>
      <c r="H394" s="16"/>
      <c r="I394" s="16"/>
      <c r="J394" s="16"/>
      <c r="K394" s="19"/>
    </row>
    <row r="395">
      <c r="A395" s="2"/>
      <c r="H395" s="16"/>
      <c r="I395" s="16"/>
      <c r="J395" s="16"/>
      <c r="K395" s="19"/>
    </row>
    <row r="396">
      <c r="A396" s="2"/>
      <c r="H396" s="16"/>
      <c r="I396" s="16"/>
      <c r="J396" s="16"/>
      <c r="K396" s="19"/>
    </row>
    <row r="397">
      <c r="A397" s="2"/>
      <c r="H397" s="16"/>
      <c r="I397" s="16"/>
      <c r="J397" s="16"/>
      <c r="K397" s="19"/>
    </row>
    <row r="398">
      <c r="A398" s="2"/>
      <c r="H398" s="16"/>
      <c r="I398" s="16"/>
      <c r="J398" s="16"/>
      <c r="K398" s="19"/>
    </row>
    <row r="399">
      <c r="A399" s="2"/>
      <c r="H399" s="16"/>
      <c r="I399" s="16"/>
      <c r="J399" s="16"/>
      <c r="K399" s="19"/>
    </row>
    <row r="400">
      <c r="A400" s="2"/>
      <c r="H400" s="16"/>
      <c r="I400" s="16"/>
      <c r="J400" s="16"/>
      <c r="K400" s="19"/>
    </row>
    <row r="401">
      <c r="A401" s="2"/>
      <c r="H401" s="16"/>
      <c r="I401" s="16"/>
      <c r="J401" s="16"/>
      <c r="K401" s="19"/>
    </row>
    <row r="402">
      <c r="A402" s="2"/>
      <c r="H402" s="16"/>
      <c r="I402" s="16"/>
      <c r="J402" s="16"/>
      <c r="K402" s="19"/>
    </row>
    <row r="403">
      <c r="A403" s="2"/>
      <c r="H403" s="16"/>
      <c r="I403" s="16"/>
      <c r="J403" s="16"/>
      <c r="K403" s="19"/>
    </row>
    <row r="404">
      <c r="A404" s="2"/>
      <c r="H404" s="16"/>
      <c r="I404" s="16"/>
      <c r="J404" s="16"/>
      <c r="K404" s="19"/>
    </row>
    <row r="405">
      <c r="A405" s="2"/>
      <c r="H405" s="16"/>
      <c r="I405" s="16"/>
      <c r="J405" s="16"/>
      <c r="K405" s="19"/>
    </row>
    <row r="406">
      <c r="A406" s="2"/>
      <c r="H406" s="16"/>
      <c r="I406" s="16"/>
      <c r="J406" s="16"/>
      <c r="K406" s="19"/>
    </row>
    <row r="407">
      <c r="A407" s="2"/>
      <c r="H407" s="16"/>
      <c r="I407" s="16"/>
      <c r="J407" s="16"/>
      <c r="K407" s="19"/>
    </row>
    <row r="408">
      <c r="A408" s="2"/>
      <c r="H408" s="16"/>
      <c r="I408" s="16"/>
      <c r="J408" s="16"/>
      <c r="K408" s="19"/>
    </row>
    <row r="409">
      <c r="A409" s="2"/>
      <c r="H409" s="16"/>
      <c r="I409" s="16"/>
      <c r="J409" s="16"/>
      <c r="K409" s="19"/>
    </row>
    <row r="410">
      <c r="A410" s="2"/>
      <c r="H410" s="16"/>
      <c r="I410" s="16"/>
      <c r="J410" s="16"/>
      <c r="K410" s="19"/>
    </row>
    <row r="411">
      <c r="A411" s="2"/>
      <c r="H411" s="16"/>
      <c r="I411" s="16"/>
      <c r="J411" s="16"/>
      <c r="K411" s="19"/>
    </row>
    <row r="412">
      <c r="A412" s="2"/>
      <c r="H412" s="16"/>
      <c r="I412" s="16"/>
      <c r="J412" s="16"/>
      <c r="K412" s="19"/>
    </row>
    <row r="413">
      <c r="A413" s="2"/>
      <c r="H413" s="16"/>
      <c r="I413" s="16"/>
      <c r="J413" s="16"/>
      <c r="K413" s="19"/>
    </row>
    <row r="414">
      <c r="A414" s="2"/>
      <c r="H414" s="16"/>
      <c r="I414" s="16"/>
      <c r="J414" s="16"/>
      <c r="K414" s="19"/>
    </row>
    <row r="415">
      <c r="A415" s="2"/>
      <c r="H415" s="16"/>
      <c r="I415" s="16"/>
      <c r="J415" s="16"/>
      <c r="K415" s="19"/>
    </row>
    <row r="416">
      <c r="A416" s="2"/>
      <c r="H416" s="16"/>
      <c r="I416" s="16"/>
      <c r="J416" s="16"/>
      <c r="K416" s="19"/>
    </row>
    <row r="417">
      <c r="A417" s="2"/>
      <c r="H417" s="16"/>
      <c r="I417" s="16"/>
      <c r="J417" s="16"/>
      <c r="K417" s="19"/>
    </row>
    <row r="418">
      <c r="A418" s="2"/>
      <c r="H418" s="16"/>
      <c r="I418" s="16"/>
      <c r="J418" s="16"/>
      <c r="K418" s="19"/>
    </row>
    <row r="419">
      <c r="A419" s="2"/>
      <c r="H419" s="16"/>
      <c r="I419" s="16"/>
      <c r="J419" s="16"/>
      <c r="K419" s="19"/>
    </row>
    <row r="420">
      <c r="A420" s="2"/>
      <c r="H420" s="16"/>
      <c r="I420" s="16"/>
      <c r="J420" s="16"/>
      <c r="K420" s="19"/>
    </row>
    <row r="421">
      <c r="A421" s="2"/>
      <c r="H421" s="16"/>
      <c r="I421" s="16"/>
      <c r="J421" s="16"/>
      <c r="K421" s="19"/>
    </row>
    <row r="422">
      <c r="A422" s="2"/>
      <c r="H422" s="16"/>
      <c r="I422" s="16"/>
      <c r="J422" s="16"/>
      <c r="K422" s="19"/>
    </row>
    <row r="423">
      <c r="A423" s="2"/>
      <c r="H423" s="16"/>
      <c r="I423" s="16"/>
      <c r="J423" s="16"/>
      <c r="K423" s="19"/>
    </row>
    <row r="424">
      <c r="A424" s="2"/>
      <c r="H424" s="16"/>
      <c r="I424" s="16"/>
      <c r="J424" s="16"/>
      <c r="K424" s="19"/>
    </row>
    <row r="425">
      <c r="A425" s="2"/>
      <c r="H425" s="16"/>
      <c r="I425" s="16"/>
      <c r="J425" s="16"/>
      <c r="K425" s="19"/>
    </row>
    <row r="426">
      <c r="A426" s="2"/>
      <c r="H426" s="16"/>
      <c r="I426" s="16"/>
      <c r="J426" s="16"/>
      <c r="K426" s="19"/>
    </row>
    <row r="427">
      <c r="A427" s="2"/>
      <c r="H427" s="16"/>
      <c r="I427" s="16"/>
      <c r="J427" s="16"/>
      <c r="K427" s="19"/>
    </row>
    <row r="428">
      <c r="A428" s="2"/>
      <c r="H428" s="16"/>
      <c r="I428" s="16"/>
      <c r="J428" s="16"/>
      <c r="K428" s="19"/>
    </row>
    <row r="429">
      <c r="A429" s="2"/>
      <c r="H429" s="16"/>
      <c r="I429" s="16"/>
      <c r="J429" s="16"/>
      <c r="K429" s="19"/>
    </row>
    <row r="430">
      <c r="A430" s="2"/>
      <c r="H430" s="16"/>
      <c r="I430" s="16"/>
      <c r="J430" s="16"/>
      <c r="K430" s="19"/>
    </row>
    <row r="431">
      <c r="A431" s="2"/>
      <c r="H431" s="16"/>
      <c r="I431" s="16"/>
      <c r="J431" s="16"/>
      <c r="K431" s="19"/>
    </row>
    <row r="432">
      <c r="A432" s="2"/>
      <c r="H432" s="16"/>
      <c r="I432" s="16"/>
      <c r="J432" s="16"/>
      <c r="K432" s="19"/>
    </row>
    <row r="433">
      <c r="A433" s="2"/>
      <c r="H433" s="16"/>
      <c r="I433" s="16"/>
      <c r="J433" s="16"/>
      <c r="K433" s="19"/>
    </row>
    <row r="434">
      <c r="A434" s="2"/>
      <c r="H434" s="16"/>
      <c r="I434" s="16"/>
      <c r="J434" s="16"/>
      <c r="K434" s="19"/>
    </row>
    <row r="435">
      <c r="A435" s="2"/>
      <c r="H435" s="16"/>
      <c r="I435" s="16"/>
      <c r="J435" s="16"/>
      <c r="K435" s="19"/>
    </row>
    <row r="436">
      <c r="A436" s="2"/>
      <c r="H436" s="16"/>
      <c r="I436" s="16"/>
      <c r="J436" s="16"/>
      <c r="K436" s="19"/>
    </row>
    <row r="437">
      <c r="A437" s="2"/>
      <c r="H437" s="16"/>
      <c r="I437" s="16"/>
      <c r="J437" s="16"/>
      <c r="K437" s="19"/>
    </row>
    <row r="438">
      <c r="A438" s="2"/>
      <c r="H438" s="16"/>
      <c r="I438" s="16"/>
      <c r="J438" s="16"/>
      <c r="K438" s="19"/>
    </row>
    <row r="439">
      <c r="A439" s="2"/>
      <c r="H439" s="16"/>
      <c r="I439" s="16"/>
      <c r="J439" s="16"/>
      <c r="K439" s="19"/>
    </row>
    <row r="440">
      <c r="A440" s="2"/>
      <c r="H440" s="16"/>
      <c r="I440" s="16"/>
      <c r="J440" s="16"/>
      <c r="K440" s="19"/>
    </row>
    <row r="441">
      <c r="A441" s="2"/>
      <c r="H441" s="16"/>
      <c r="I441" s="16"/>
      <c r="J441" s="16"/>
      <c r="K441" s="19"/>
    </row>
    <row r="442">
      <c r="A442" s="2"/>
      <c r="H442" s="16"/>
      <c r="I442" s="16"/>
      <c r="J442" s="16"/>
      <c r="K442" s="19"/>
    </row>
    <row r="443">
      <c r="A443" s="2"/>
      <c r="H443" s="16"/>
      <c r="I443" s="16"/>
      <c r="J443" s="16"/>
      <c r="K443" s="19"/>
    </row>
    <row r="444">
      <c r="A444" s="2"/>
      <c r="H444" s="16"/>
      <c r="I444" s="16"/>
      <c r="J444" s="16"/>
      <c r="K444" s="19"/>
    </row>
    <row r="445">
      <c r="A445" s="2"/>
      <c r="H445" s="16"/>
      <c r="I445" s="16"/>
      <c r="J445" s="16"/>
      <c r="K445" s="19"/>
    </row>
    <row r="446">
      <c r="A446" s="2"/>
      <c r="H446" s="16"/>
      <c r="I446" s="16"/>
      <c r="J446" s="16"/>
      <c r="K446" s="19"/>
    </row>
    <row r="447">
      <c r="A447" s="2"/>
      <c r="H447" s="16"/>
      <c r="I447" s="16"/>
      <c r="J447" s="16"/>
      <c r="K447" s="19"/>
    </row>
    <row r="448">
      <c r="A448" s="2"/>
      <c r="H448" s="16"/>
      <c r="I448" s="16"/>
      <c r="J448" s="16"/>
      <c r="K448" s="19"/>
    </row>
    <row r="449">
      <c r="A449" s="2"/>
      <c r="H449" s="16"/>
      <c r="I449" s="16"/>
      <c r="J449" s="16"/>
      <c r="K449" s="19"/>
    </row>
    <row r="450">
      <c r="A450" s="2"/>
      <c r="H450" s="16"/>
      <c r="I450" s="16"/>
      <c r="J450" s="16"/>
      <c r="K450" s="19"/>
    </row>
    <row r="451">
      <c r="A451" s="2"/>
      <c r="H451" s="16"/>
      <c r="I451" s="16"/>
      <c r="J451" s="16"/>
      <c r="K451" s="19"/>
    </row>
    <row r="452">
      <c r="A452" s="2"/>
      <c r="H452" s="16"/>
      <c r="I452" s="16"/>
      <c r="J452" s="16"/>
      <c r="K452" s="19"/>
    </row>
    <row r="453">
      <c r="A453" s="2"/>
      <c r="H453" s="16"/>
      <c r="I453" s="16"/>
      <c r="J453" s="16"/>
      <c r="K453" s="19"/>
    </row>
    <row r="454">
      <c r="A454" s="2"/>
      <c r="H454" s="16"/>
      <c r="I454" s="16"/>
      <c r="J454" s="16"/>
      <c r="K454" s="19"/>
    </row>
    <row r="455">
      <c r="A455" s="2"/>
      <c r="H455" s="16"/>
      <c r="I455" s="16"/>
      <c r="J455" s="16"/>
      <c r="K455" s="19"/>
    </row>
    <row r="456">
      <c r="A456" s="2"/>
      <c r="H456" s="16"/>
      <c r="I456" s="16"/>
      <c r="J456" s="16"/>
      <c r="K456" s="19"/>
    </row>
    <row r="457">
      <c r="A457" s="2"/>
      <c r="H457" s="16"/>
      <c r="I457" s="16"/>
      <c r="J457" s="16"/>
      <c r="K457" s="19"/>
    </row>
    <row r="458">
      <c r="A458" s="2"/>
      <c r="H458" s="16"/>
      <c r="I458" s="16"/>
      <c r="J458" s="16"/>
      <c r="K458" s="19"/>
    </row>
    <row r="459">
      <c r="A459" s="2"/>
      <c r="H459" s="16"/>
      <c r="I459" s="16"/>
      <c r="J459" s="16"/>
      <c r="K459" s="19"/>
    </row>
    <row r="460">
      <c r="A460" s="2"/>
      <c r="H460" s="16"/>
      <c r="I460" s="16"/>
      <c r="J460" s="16"/>
      <c r="K460" s="19"/>
    </row>
    <row r="461">
      <c r="A461" s="2"/>
      <c r="H461" s="16"/>
      <c r="I461" s="16"/>
      <c r="J461" s="16"/>
      <c r="K461" s="19"/>
    </row>
    <row r="462">
      <c r="A462" s="2"/>
      <c r="H462" s="16"/>
      <c r="I462" s="16"/>
      <c r="J462" s="16"/>
      <c r="K462" s="19"/>
    </row>
    <row r="463">
      <c r="A463" s="2"/>
      <c r="H463" s="16"/>
      <c r="I463" s="16"/>
      <c r="J463" s="16"/>
      <c r="K463" s="19"/>
    </row>
    <row r="464">
      <c r="A464" s="2"/>
      <c r="H464" s="16"/>
      <c r="I464" s="16"/>
      <c r="J464" s="16"/>
      <c r="K464" s="19"/>
    </row>
    <row r="465">
      <c r="A465" s="2"/>
      <c r="H465" s="16"/>
      <c r="I465" s="16"/>
      <c r="J465" s="16"/>
      <c r="K465" s="19"/>
    </row>
    <row r="466">
      <c r="A466" s="2"/>
      <c r="H466" s="16"/>
      <c r="I466" s="16"/>
      <c r="J466" s="16"/>
      <c r="K466" s="19"/>
    </row>
    <row r="467">
      <c r="A467" s="2"/>
      <c r="H467" s="16"/>
      <c r="I467" s="16"/>
      <c r="J467" s="16"/>
      <c r="K467" s="19"/>
    </row>
    <row r="468">
      <c r="A468" s="2"/>
      <c r="H468" s="16"/>
      <c r="I468" s="16"/>
      <c r="J468" s="16"/>
      <c r="K468" s="19"/>
    </row>
    <row r="469">
      <c r="A469" s="2"/>
      <c r="H469" s="16"/>
      <c r="I469" s="16"/>
      <c r="J469" s="16"/>
      <c r="K469" s="19"/>
    </row>
    <row r="470">
      <c r="A470" s="2"/>
      <c r="H470" s="16"/>
      <c r="I470" s="16"/>
      <c r="J470" s="16"/>
      <c r="K470" s="19"/>
    </row>
    <row r="471">
      <c r="A471" s="2"/>
      <c r="H471" s="16"/>
      <c r="I471" s="16"/>
      <c r="J471" s="16"/>
      <c r="K471" s="19"/>
    </row>
    <row r="472">
      <c r="A472" s="2"/>
      <c r="H472" s="16"/>
      <c r="I472" s="16"/>
      <c r="J472" s="16"/>
      <c r="K472" s="19"/>
    </row>
    <row r="473">
      <c r="A473" s="2"/>
      <c r="H473" s="16"/>
      <c r="I473" s="16"/>
      <c r="J473" s="16"/>
      <c r="K473" s="19"/>
    </row>
    <row r="474">
      <c r="A474" s="2"/>
      <c r="H474" s="16"/>
      <c r="I474" s="16"/>
      <c r="J474" s="16"/>
      <c r="K474" s="19"/>
    </row>
    <row r="475">
      <c r="A475" s="2"/>
      <c r="H475" s="16"/>
      <c r="I475" s="16"/>
      <c r="J475" s="16"/>
      <c r="K475" s="19"/>
    </row>
    <row r="476">
      <c r="A476" s="2"/>
      <c r="H476" s="16"/>
      <c r="I476" s="16"/>
      <c r="J476" s="16"/>
      <c r="K476" s="19"/>
    </row>
    <row r="477">
      <c r="A477" s="2"/>
      <c r="H477" s="16"/>
      <c r="I477" s="16"/>
      <c r="J477" s="16"/>
      <c r="K477" s="19"/>
    </row>
    <row r="478">
      <c r="A478" s="2"/>
      <c r="H478" s="16"/>
      <c r="I478" s="16"/>
      <c r="J478" s="16"/>
      <c r="K478" s="19"/>
    </row>
    <row r="479">
      <c r="A479" s="2"/>
      <c r="H479" s="16"/>
      <c r="I479" s="16"/>
      <c r="J479" s="16"/>
      <c r="K479" s="19"/>
    </row>
    <row r="480">
      <c r="A480" s="2"/>
      <c r="H480" s="16"/>
      <c r="I480" s="16"/>
      <c r="J480" s="16"/>
      <c r="K480" s="19"/>
    </row>
    <row r="481">
      <c r="A481" s="2"/>
      <c r="H481" s="16"/>
      <c r="I481" s="16"/>
      <c r="J481" s="16"/>
      <c r="K481" s="19"/>
    </row>
    <row r="482">
      <c r="A482" s="2"/>
      <c r="H482" s="16"/>
      <c r="I482" s="16"/>
      <c r="J482" s="16"/>
      <c r="K482" s="19"/>
    </row>
    <row r="483">
      <c r="A483" s="2"/>
      <c r="H483" s="16"/>
      <c r="I483" s="16"/>
      <c r="J483" s="16"/>
      <c r="K483" s="19"/>
    </row>
    <row r="484">
      <c r="A484" s="2"/>
      <c r="H484" s="16"/>
      <c r="I484" s="16"/>
      <c r="J484" s="16"/>
      <c r="K484" s="19"/>
    </row>
    <row r="485">
      <c r="A485" s="2"/>
      <c r="H485" s="16"/>
      <c r="I485" s="16"/>
      <c r="J485" s="16"/>
      <c r="K485" s="19"/>
    </row>
    <row r="486">
      <c r="A486" s="2"/>
      <c r="H486" s="16"/>
      <c r="I486" s="16"/>
      <c r="J486" s="16"/>
      <c r="K486" s="19"/>
    </row>
    <row r="487">
      <c r="A487" s="2"/>
      <c r="H487" s="16"/>
      <c r="I487" s="16"/>
      <c r="J487" s="16"/>
      <c r="K487" s="19"/>
    </row>
    <row r="488">
      <c r="A488" s="2"/>
      <c r="H488" s="16"/>
      <c r="I488" s="16"/>
      <c r="J488" s="16"/>
      <c r="K488" s="19"/>
    </row>
    <row r="489">
      <c r="A489" s="2"/>
      <c r="H489" s="16"/>
      <c r="I489" s="16"/>
      <c r="J489" s="16"/>
      <c r="K489" s="19"/>
    </row>
    <row r="490">
      <c r="A490" s="2"/>
      <c r="H490" s="16"/>
      <c r="I490" s="16"/>
      <c r="J490" s="16"/>
      <c r="K490" s="19"/>
    </row>
    <row r="491">
      <c r="A491" s="2"/>
      <c r="H491" s="16"/>
      <c r="I491" s="16"/>
      <c r="J491" s="16"/>
      <c r="K491" s="19"/>
    </row>
    <row r="492">
      <c r="A492" s="2"/>
      <c r="H492" s="16"/>
      <c r="I492" s="16"/>
      <c r="J492" s="16"/>
      <c r="K492" s="19"/>
    </row>
    <row r="493">
      <c r="A493" s="2"/>
      <c r="H493" s="16"/>
      <c r="I493" s="16"/>
      <c r="J493" s="16"/>
      <c r="K493" s="19"/>
    </row>
    <row r="494">
      <c r="A494" s="2"/>
      <c r="H494" s="16"/>
      <c r="I494" s="16"/>
      <c r="J494" s="16"/>
      <c r="K494" s="19"/>
    </row>
    <row r="495">
      <c r="A495" s="2"/>
      <c r="H495" s="16"/>
      <c r="I495" s="16"/>
      <c r="J495" s="16"/>
      <c r="K495" s="19"/>
    </row>
    <row r="496">
      <c r="A496" s="2"/>
      <c r="H496" s="16"/>
      <c r="I496" s="16"/>
      <c r="J496" s="16"/>
      <c r="K496" s="19"/>
    </row>
    <row r="497">
      <c r="A497" s="2"/>
      <c r="H497" s="16"/>
      <c r="I497" s="16"/>
      <c r="J497" s="16"/>
      <c r="K497" s="19"/>
    </row>
    <row r="498">
      <c r="A498" s="2"/>
      <c r="H498" s="16"/>
      <c r="I498" s="16"/>
      <c r="J498" s="16"/>
      <c r="K498" s="19"/>
    </row>
    <row r="499">
      <c r="A499" s="2"/>
      <c r="H499" s="16"/>
      <c r="I499" s="16"/>
      <c r="J499" s="16"/>
      <c r="K499" s="19"/>
    </row>
    <row r="500">
      <c r="A500" s="2"/>
      <c r="H500" s="16"/>
      <c r="I500" s="16"/>
      <c r="J500" s="16"/>
      <c r="K500" s="19"/>
    </row>
    <row r="501">
      <c r="A501" s="2"/>
      <c r="H501" s="16"/>
      <c r="I501" s="16"/>
      <c r="J501" s="16"/>
      <c r="K501" s="19"/>
    </row>
    <row r="502">
      <c r="A502" s="2"/>
      <c r="H502" s="16"/>
      <c r="I502" s="16"/>
      <c r="J502" s="16"/>
      <c r="K502" s="19"/>
    </row>
    <row r="503">
      <c r="A503" s="2"/>
      <c r="H503" s="16"/>
      <c r="I503" s="16"/>
      <c r="J503" s="16"/>
      <c r="K503" s="19"/>
    </row>
    <row r="504">
      <c r="A504" s="2"/>
      <c r="H504" s="16"/>
      <c r="I504" s="16"/>
      <c r="J504" s="16"/>
      <c r="K504" s="19"/>
    </row>
    <row r="505">
      <c r="A505" s="2"/>
      <c r="H505" s="16"/>
      <c r="I505" s="16"/>
      <c r="J505" s="16"/>
      <c r="K505" s="19"/>
    </row>
    <row r="506">
      <c r="A506" s="2"/>
      <c r="H506" s="16"/>
      <c r="I506" s="16"/>
      <c r="J506" s="16"/>
      <c r="K506" s="19"/>
    </row>
    <row r="507">
      <c r="A507" s="2"/>
      <c r="H507" s="16"/>
      <c r="I507" s="16"/>
      <c r="J507" s="16"/>
      <c r="K507" s="19"/>
    </row>
    <row r="508">
      <c r="A508" s="2"/>
      <c r="H508" s="16"/>
      <c r="I508" s="16"/>
      <c r="J508" s="16"/>
      <c r="K508" s="19"/>
    </row>
    <row r="509">
      <c r="A509" s="2"/>
      <c r="H509" s="16"/>
      <c r="I509" s="16"/>
      <c r="J509" s="16"/>
      <c r="K509" s="19"/>
    </row>
    <row r="510">
      <c r="A510" s="2"/>
      <c r="H510" s="16"/>
      <c r="I510" s="16"/>
      <c r="J510" s="16"/>
      <c r="K510" s="19"/>
    </row>
    <row r="511">
      <c r="A511" s="2"/>
      <c r="H511" s="16"/>
      <c r="I511" s="16"/>
      <c r="J511" s="16"/>
      <c r="K511" s="19"/>
    </row>
    <row r="512">
      <c r="A512" s="2"/>
      <c r="H512" s="16"/>
      <c r="I512" s="16"/>
      <c r="J512" s="16"/>
      <c r="K512" s="19"/>
    </row>
    <row r="513">
      <c r="A513" s="2"/>
      <c r="H513" s="16"/>
      <c r="I513" s="16"/>
      <c r="J513" s="16"/>
      <c r="K513" s="19"/>
    </row>
    <row r="514">
      <c r="A514" s="2"/>
      <c r="H514" s="16"/>
      <c r="I514" s="16"/>
      <c r="J514" s="16"/>
      <c r="K514" s="19"/>
    </row>
    <row r="515">
      <c r="A515" s="2"/>
      <c r="H515" s="16"/>
      <c r="I515" s="16"/>
      <c r="J515" s="16"/>
      <c r="K515" s="19"/>
    </row>
    <row r="516">
      <c r="A516" s="2"/>
      <c r="H516" s="16"/>
      <c r="I516" s="16"/>
      <c r="J516" s="16"/>
      <c r="K516" s="19"/>
    </row>
    <row r="517">
      <c r="A517" s="2"/>
      <c r="H517" s="16"/>
      <c r="I517" s="16"/>
      <c r="J517" s="16"/>
      <c r="K517" s="19"/>
    </row>
    <row r="518">
      <c r="A518" s="2"/>
      <c r="H518" s="16"/>
      <c r="I518" s="16"/>
      <c r="J518" s="16"/>
      <c r="K518" s="19"/>
    </row>
    <row r="519">
      <c r="A519" s="2"/>
      <c r="H519" s="16"/>
      <c r="I519" s="16"/>
      <c r="J519" s="16"/>
      <c r="K519" s="19"/>
    </row>
    <row r="520">
      <c r="A520" s="2"/>
      <c r="H520" s="16"/>
      <c r="I520" s="16"/>
      <c r="J520" s="16"/>
      <c r="K520" s="19"/>
    </row>
    <row r="521">
      <c r="A521" s="2"/>
      <c r="H521" s="16"/>
      <c r="I521" s="16"/>
      <c r="J521" s="16"/>
      <c r="K521" s="19"/>
    </row>
    <row r="522">
      <c r="A522" s="2"/>
      <c r="H522" s="16"/>
      <c r="I522" s="16"/>
      <c r="J522" s="16"/>
      <c r="K522" s="19"/>
    </row>
    <row r="523">
      <c r="A523" s="2"/>
      <c r="H523" s="16"/>
      <c r="I523" s="16"/>
      <c r="J523" s="16"/>
      <c r="K523" s="19"/>
    </row>
    <row r="524">
      <c r="A524" s="2"/>
      <c r="H524" s="16"/>
      <c r="I524" s="16"/>
      <c r="J524" s="16"/>
      <c r="K524" s="19"/>
    </row>
    <row r="525">
      <c r="A525" s="2"/>
      <c r="H525" s="16"/>
      <c r="I525" s="16"/>
      <c r="J525" s="16"/>
      <c r="K525" s="19"/>
    </row>
    <row r="526">
      <c r="A526" s="2"/>
      <c r="H526" s="16"/>
      <c r="I526" s="16"/>
      <c r="J526" s="16"/>
      <c r="K526" s="19"/>
    </row>
    <row r="527">
      <c r="A527" s="2"/>
      <c r="H527" s="16"/>
      <c r="I527" s="16"/>
      <c r="J527" s="16"/>
      <c r="K527" s="19"/>
    </row>
    <row r="528">
      <c r="A528" s="2"/>
      <c r="H528" s="16"/>
      <c r="I528" s="16"/>
      <c r="J528" s="16"/>
      <c r="K528" s="19"/>
    </row>
    <row r="529">
      <c r="A529" s="2"/>
      <c r="H529" s="16"/>
      <c r="I529" s="16"/>
      <c r="J529" s="16"/>
      <c r="K529" s="19"/>
    </row>
    <row r="530">
      <c r="A530" s="2"/>
      <c r="H530" s="16"/>
      <c r="I530" s="16"/>
      <c r="J530" s="16"/>
      <c r="K530" s="19"/>
    </row>
    <row r="531">
      <c r="A531" s="2"/>
      <c r="H531" s="16"/>
      <c r="I531" s="16"/>
      <c r="J531" s="16"/>
      <c r="K531" s="19"/>
    </row>
    <row r="532">
      <c r="A532" s="2"/>
      <c r="H532" s="16"/>
      <c r="I532" s="16"/>
      <c r="J532" s="16"/>
      <c r="K532" s="19"/>
    </row>
    <row r="533">
      <c r="A533" s="2"/>
      <c r="H533" s="16"/>
      <c r="I533" s="16"/>
      <c r="J533" s="16"/>
      <c r="K533" s="19"/>
    </row>
    <row r="534">
      <c r="A534" s="2"/>
      <c r="H534" s="16"/>
      <c r="I534" s="16"/>
      <c r="J534" s="16"/>
      <c r="K534" s="19"/>
    </row>
    <row r="535">
      <c r="A535" s="2"/>
      <c r="H535" s="16"/>
      <c r="I535" s="16"/>
      <c r="J535" s="16"/>
      <c r="K535" s="19"/>
    </row>
    <row r="536">
      <c r="A536" s="2"/>
      <c r="H536" s="16"/>
      <c r="I536" s="16"/>
      <c r="J536" s="16"/>
      <c r="K536" s="19"/>
    </row>
    <row r="537">
      <c r="A537" s="2"/>
      <c r="H537" s="16"/>
      <c r="I537" s="16"/>
      <c r="J537" s="16"/>
      <c r="K537" s="19"/>
    </row>
    <row r="538">
      <c r="A538" s="2"/>
      <c r="H538" s="16"/>
      <c r="I538" s="16"/>
      <c r="J538" s="16"/>
      <c r="K538" s="19"/>
    </row>
    <row r="539">
      <c r="A539" s="2"/>
      <c r="H539" s="16"/>
      <c r="I539" s="16"/>
      <c r="J539" s="16"/>
      <c r="K539" s="19"/>
    </row>
    <row r="540">
      <c r="A540" s="2"/>
      <c r="H540" s="16"/>
      <c r="I540" s="16"/>
      <c r="J540" s="16"/>
      <c r="K540" s="19"/>
    </row>
    <row r="541">
      <c r="A541" s="2"/>
      <c r="H541" s="16"/>
      <c r="I541" s="16"/>
      <c r="J541" s="16"/>
      <c r="K541" s="19"/>
    </row>
    <row r="542">
      <c r="A542" s="2"/>
      <c r="H542" s="16"/>
      <c r="I542" s="16"/>
      <c r="J542" s="16"/>
      <c r="K542" s="19"/>
    </row>
    <row r="543">
      <c r="A543" s="2"/>
      <c r="H543" s="16"/>
      <c r="I543" s="16"/>
      <c r="J543" s="16"/>
      <c r="K543" s="19"/>
    </row>
    <row r="544">
      <c r="A544" s="2"/>
      <c r="H544" s="16"/>
      <c r="I544" s="16"/>
      <c r="J544" s="16"/>
      <c r="K544" s="19"/>
    </row>
    <row r="545">
      <c r="A545" s="2"/>
      <c r="H545" s="16"/>
      <c r="I545" s="16"/>
      <c r="J545" s="16"/>
      <c r="K545" s="19"/>
    </row>
    <row r="546">
      <c r="A546" s="2"/>
      <c r="H546" s="16"/>
      <c r="I546" s="16"/>
      <c r="J546" s="16"/>
      <c r="K546" s="19"/>
    </row>
    <row r="547">
      <c r="A547" s="2"/>
      <c r="H547" s="16"/>
      <c r="I547" s="16"/>
      <c r="J547" s="16"/>
      <c r="K547" s="19"/>
    </row>
    <row r="548">
      <c r="A548" s="2"/>
      <c r="H548" s="16"/>
      <c r="I548" s="16"/>
      <c r="J548" s="16"/>
      <c r="K548" s="19"/>
    </row>
    <row r="549">
      <c r="A549" s="2"/>
      <c r="H549" s="16"/>
      <c r="I549" s="16"/>
      <c r="J549" s="16"/>
      <c r="K549" s="19"/>
    </row>
    <row r="550">
      <c r="A550" s="2"/>
      <c r="H550" s="16"/>
      <c r="I550" s="16"/>
      <c r="J550" s="16"/>
      <c r="K550" s="19"/>
    </row>
    <row r="551">
      <c r="A551" s="2"/>
      <c r="H551" s="16"/>
      <c r="I551" s="16"/>
      <c r="J551" s="16"/>
      <c r="K551" s="19"/>
    </row>
    <row r="552">
      <c r="A552" s="2"/>
      <c r="H552" s="16"/>
      <c r="I552" s="16"/>
      <c r="J552" s="16"/>
      <c r="K552" s="19"/>
    </row>
    <row r="553">
      <c r="A553" s="2"/>
      <c r="H553" s="16"/>
      <c r="I553" s="16"/>
      <c r="J553" s="16"/>
      <c r="K553" s="19"/>
    </row>
    <row r="554">
      <c r="A554" s="2"/>
      <c r="H554" s="16"/>
      <c r="I554" s="16"/>
      <c r="J554" s="16"/>
      <c r="K554" s="19"/>
    </row>
    <row r="555">
      <c r="A555" s="2"/>
      <c r="H555" s="16"/>
      <c r="I555" s="16"/>
      <c r="J555" s="16"/>
      <c r="K555" s="19"/>
    </row>
    <row r="556">
      <c r="A556" s="2"/>
      <c r="H556" s="16"/>
      <c r="I556" s="16"/>
      <c r="J556" s="16"/>
      <c r="K556" s="19"/>
    </row>
    <row r="557">
      <c r="A557" s="2"/>
      <c r="H557" s="16"/>
      <c r="I557" s="16"/>
      <c r="J557" s="16"/>
      <c r="K557" s="19"/>
    </row>
    <row r="558">
      <c r="A558" s="2"/>
      <c r="H558" s="16"/>
      <c r="I558" s="16"/>
      <c r="J558" s="16"/>
      <c r="K558" s="19"/>
    </row>
    <row r="559">
      <c r="A559" s="2"/>
      <c r="H559" s="16"/>
      <c r="I559" s="16"/>
      <c r="J559" s="16"/>
      <c r="K559" s="19"/>
    </row>
    <row r="560">
      <c r="A560" s="2"/>
      <c r="H560" s="16"/>
      <c r="I560" s="16"/>
      <c r="J560" s="16"/>
      <c r="K560" s="19"/>
    </row>
    <row r="561">
      <c r="A561" s="2"/>
      <c r="H561" s="16"/>
      <c r="I561" s="16"/>
      <c r="J561" s="16"/>
      <c r="K561" s="19"/>
    </row>
    <row r="562">
      <c r="A562" s="2"/>
      <c r="H562" s="16"/>
      <c r="I562" s="16"/>
      <c r="J562" s="16"/>
      <c r="K562" s="19"/>
    </row>
    <row r="563">
      <c r="A563" s="2"/>
      <c r="H563" s="16"/>
      <c r="I563" s="16"/>
      <c r="J563" s="16"/>
      <c r="K563" s="19"/>
    </row>
    <row r="564">
      <c r="A564" s="2"/>
      <c r="H564" s="16"/>
      <c r="I564" s="16"/>
      <c r="J564" s="16"/>
      <c r="K564" s="19"/>
    </row>
    <row r="565">
      <c r="A565" s="2"/>
      <c r="H565" s="16"/>
      <c r="I565" s="16"/>
      <c r="J565" s="16"/>
      <c r="K565" s="19"/>
    </row>
    <row r="566">
      <c r="A566" s="2"/>
      <c r="H566" s="16"/>
      <c r="I566" s="16"/>
      <c r="J566" s="16"/>
      <c r="K566" s="19"/>
    </row>
    <row r="567">
      <c r="A567" s="2"/>
      <c r="H567" s="16"/>
      <c r="I567" s="16"/>
      <c r="J567" s="16"/>
      <c r="K567" s="19"/>
    </row>
    <row r="568">
      <c r="A568" s="2"/>
      <c r="H568" s="16"/>
      <c r="I568" s="16"/>
      <c r="J568" s="16"/>
      <c r="K568" s="19"/>
    </row>
    <row r="569">
      <c r="A569" s="2"/>
      <c r="H569" s="16"/>
      <c r="I569" s="16"/>
      <c r="J569" s="16"/>
      <c r="K569" s="19"/>
    </row>
    <row r="570">
      <c r="A570" s="2"/>
      <c r="H570" s="16"/>
      <c r="I570" s="16"/>
      <c r="J570" s="16"/>
      <c r="K570" s="19"/>
    </row>
    <row r="571">
      <c r="A571" s="2"/>
      <c r="H571" s="16"/>
      <c r="I571" s="16"/>
      <c r="J571" s="16"/>
      <c r="K571" s="19"/>
    </row>
    <row r="572">
      <c r="A572" s="2"/>
      <c r="H572" s="16"/>
      <c r="I572" s="16"/>
      <c r="J572" s="16"/>
      <c r="K572" s="19"/>
    </row>
    <row r="573">
      <c r="A573" s="2"/>
      <c r="H573" s="16"/>
      <c r="I573" s="16"/>
      <c r="J573" s="16"/>
      <c r="K573" s="19"/>
    </row>
    <row r="574">
      <c r="A574" s="2"/>
      <c r="H574" s="16"/>
      <c r="I574" s="16"/>
      <c r="J574" s="16"/>
      <c r="K574" s="19"/>
    </row>
    <row r="575">
      <c r="A575" s="2"/>
      <c r="H575" s="16"/>
      <c r="I575" s="16"/>
      <c r="J575" s="16"/>
      <c r="K575" s="19"/>
    </row>
    <row r="576">
      <c r="A576" s="2"/>
      <c r="H576" s="16"/>
      <c r="I576" s="16"/>
      <c r="J576" s="16"/>
      <c r="K576" s="19"/>
    </row>
    <row r="577">
      <c r="A577" s="2"/>
      <c r="H577" s="16"/>
      <c r="I577" s="16"/>
      <c r="J577" s="16"/>
      <c r="K577" s="19"/>
    </row>
    <row r="578">
      <c r="A578" s="2"/>
      <c r="H578" s="16"/>
      <c r="I578" s="16"/>
      <c r="J578" s="16"/>
      <c r="K578" s="19"/>
    </row>
    <row r="579">
      <c r="A579" s="2"/>
      <c r="H579" s="16"/>
      <c r="I579" s="16"/>
      <c r="J579" s="16"/>
      <c r="K579" s="19"/>
    </row>
    <row r="580">
      <c r="A580" s="2"/>
      <c r="H580" s="16"/>
      <c r="I580" s="16"/>
      <c r="J580" s="16"/>
      <c r="K580" s="19"/>
    </row>
    <row r="581">
      <c r="A581" s="2"/>
      <c r="H581" s="16"/>
      <c r="I581" s="16"/>
      <c r="J581" s="16"/>
      <c r="K581" s="19"/>
    </row>
    <row r="582">
      <c r="A582" s="2"/>
      <c r="H582" s="16"/>
      <c r="I582" s="16"/>
      <c r="J582" s="16"/>
      <c r="K582" s="19"/>
    </row>
    <row r="583">
      <c r="A583" s="2"/>
      <c r="H583" s="16"/>
      <c r="I583" s="16"/>
      <c r="J583" s="16"/>
      <c r="K583" s="19"/>
    </row>
    <row r="584">
      <c r="A584" s="2"/>
      <c r="H584" s="16"/>
      <c r="I584" s="16"/>
      <c r="J584" s="16"/>
      <c r="K584" s="19"/>
    </row>
    <row r="585">
      <c r="A585" s="2"/>
      <c r="H585" s="16"/>
      <c r="I585" s="16"/>
      <c r="J585" s="16"/>
      <c r="K585" s="19"/>
    </row>
    <row r="586">
      <c r="A586" s="2"/>
      <c r="H586" s="16"/>
      <c r="I586" s="16"/>
      <c r="J586" s="16"/>
      <c r="K586" s="19"/>
    </row>
    <row r="587">
      <c r="A587" s="2"/>
      <c r="H587" s="16"/>
      <c r="I587" s="16"/>
      <c r="J587" s="16"/>
      <c r="K587" s="19"/>
    </row>
    <row r="588">
      <c r="A588" s="2"/>
      <c r="H588" s="16"/>
      <c r="I588" s="16"/>
      <c r="J588" s="16"/>
      <c r="K588" s="19"/>
    </row>
    <row r="589">
      <c r="A589" s="2"/>
      <c r="H589" s="16"/>
      <c r="I589" s="16"/>
      <c r="J589" s="16"/>
      <c r="K589" s="19"/>
    </row>
    <row r="590">
      <c r="A590" s="2"/>
      <c r="H590" s="16"/>
      <c r="I590" s="16"/>
      <c r="J590" s="16"/>
      <c r="K590" s="19"/>
    </row>
    <row r="591">
      <c r="A591" s="2"/>
      <c r="H591" s="16"/>
      <c r="I591" s="16"/>
      <c r="J591" s="16"/>
      <c r="K591" s="19"/>
    </row>
    <row r="592">
      <c r="A592" s="2"/>
      <c r="H592" s="16"/>
      <c r="I592" s="16"/>
      <c r="J592" s="16"/>
      <c r="K592" s="19"/>
    </row>
    <row r="593">
      <c r="A593" s="2"/>
      <c r="H593" s="16"/>
      <c r="I593" s="16"/>
      <c r="J593" s="16"/>
      <c r="K593" s="19"/>
    </row>
    <row r="594">
      <c r="A594" s="2"/>
      <c r="H594" s="16"/>
      <c r="I594" s="16"/>
      <c r="J594" s="16"/>
      <c r="K594" s="19"/>
    </row>
    <row r="595">
      <c r="A595" s="2"/>
      <c r="H595" s="16"/>
      <c r="I595" s="16"/>
      <c r="J595" s="16"/>
      <c r="K595" s="19"/>
    </row>
    <row r="596">
      <c r="A596" s="2"/>
      <c r="H596" s="16"/>
      <c r="I596" s="16"/>
      <c r="J596" s="16"/>
      <c r="K596" s="19"/>
    </row>
    <row r="597">
      <c r="A597" s="2"/>
      <c r="H597" s="16"/>
      <c r="I597" s="16"/>
      <c r="J597" s="16"/>
      <c r="K597" s="19"/>
    </row>
    <row r="598">
      <c r="A598" s="2"/>
      <c r="H598" s="16"/>
      <c r="I598" s="16"/>
      <c r="J598" s="16"/>
      <c r="K598" s="19"/>
    </row>
    <row r="599">
      <c r="A599" s="2"/>
      <c r="H599" s="16"/>
      <c r="I599" s="16"/>
      <c r="J599" s="16"/>
      <c r="K599" s="19"/>
    </row>
    <row r="600">
      <c r="A600" s="2"/>
      <c r="H600" s="16"/>
      <c r="I600" s="16"/>
      <c r="J600" s="16"/>
      <c r="K600" s="19"/>
    </row>
    <row r="601">
      <c r="A601" s="2"/>
      <c r="H601" s="16"/>
      <c r="I601" s="16"/>
      <c r="J601" s="16"/>
      <c r="K601" s="19"/>
    </row>
    <row r="602">
      <c r="A602" s="2"/>
      <c r="H602" s="16"/>
      <c r="I602" s="16"/>
      <c r="J602" s="16"/>
      <c r="K602" s="19"/>
    </row>
    <row r="603">
      <c r="A603" s="2"/>
      <c r="H603" s="16"/>
      <c r="I603" s="16"/>
      <c r="J603" s="16"/>
      <c r="K603" s="19"/>
    </row>
    <row r="604">
      <c r="A604" s="2"/>
      <c r="H604" s="16"/>
      <c r="I604" s="16"/>
      <c r="J604" s="16"/>
      <c r="K604" s="19"/>
    </row>
    <row r="605">
      <c r="A605" s="2"/>
      <c r="H605" s="16"/>
      <c r="I605" s="16"/>
      <c r="J605" s="16"/>
      <c r="K605" s="19"/>
    </row>
    <row r="606">
      <c r="A606" s="2"/>
      <c r="H606" s="16"/>
      <c r="I606" s="16"/>
      <c r="J606" s="16"/>
      <c r="K606" s="19"/>
    </row>
    <row r="607">
      <c r="A607" s="2"/>
      <c r="H607" s="16"/>
      <c r="I607" s="16"/>
      <c r="J607" s="16"/>
      <c r="K607" s="19"/>
    </row>
    <row r="608">
      <c r="A608" s="2"/>
      <c r="H608" s="16"/>
      <c r="I608" s="16"/>
      <c r="J608" s="16"/>
      <c r="K608" s="19"/>
    </row>
    <row r="609">
      <c r="A609" s="2"/>
      <c r="H609" s="16"/>
      <c r="I609" s="16"/>
      <c r="J609" s="16"/>
      <c r="K609" s="19"/>
    </row>
    <row r="610">
      <c r="A610" s="2"/>
      <c r="H610" s="16"/>
      <c r="I610" s="16"/>
      <c r="J610" s="16"/>
      <c r="K610" s="19"/>
    </row>
    <row r="611">
      <c r="A611" s="2"/>
      <c r="H611" s="16"/>
      <c r="I611" s="16"/>
      <c r="J611" s="16"/>
      <c r="K611" s="19"/>
    </row>
    <row r="612">
      <c r="A612" s="2"/>
      <c r="H612" s="16"/>
      <c r="I612" s="16"/>
      <c r="J612" s="16"/>
      <c r="K612" s="19"/>
    </row>
    <row r="613">
      <c r="A613" s="2"/>
      <c r="H613" s="16"/>
      <c r="I613" s="16"/>
      <c r="J613" s="16"/>
      <c r="K613" s="19"/>
    </row>
    <row r="614">
      <c r="A614" s="2"/>
      <c r="H614" s="16"/>
      <c r="I614" s="16"/>
      <c r="J614" s="16"/>
      <c r="K614" s="19"/>
    </row>
    <row r="615">
      <c r="A615" s="2"/>
      <c r="H615" s="16"/>
      <c r="I615" s="16"/>
      <c r="J615" s="16"/>
      <c r="K615" s="19"/>
    </row>
    <row r="616">
      <c r="A616" s="2"/>
      <c r="H616" s="16"/>
      <c r="I616" s="16"/>
      <c r="J616" s="16"/>
      <c r="K616" s="19"/>
    </row>
    <row r="617">
      <c r="A617" s="2"/>
      <c r="H617" s="16"/>
      <c r="I617" s="16"/>
      <c r="J617" s="16"/>
      <c r="K617" s="19"/>
    </row>
    <row r="618">
      <c r="A618" s="2"/>
      <c r="H618" s="16"/>
      <c r="I618" s="16"/>
      <c r="J618" s="16"/>
      <c r="K618" s="19"/>
    </row>
    <row r="619">
      <c r="A619" s="2"/>
      <c r="H619" s="16"/>
      <c r="I619" s="16"/>
      <c r="J619" s="16"/>
      <c r="K619" s="19"/>
    </row>
    <row r="620">
      <c r="A620" s="2"/>
      <c r="H620" s="16"/>
      <c r="I620" s="16"/>
      <c r="J620" s="16"/>
      <c r="K620" s="19"/>
    </row>
    <row r="621">
      <c r="A621" s="2"/>
      <c r="H621" s="16"/>
      <c r="I621" s="16"/>
      <c r="J621" s="16"/>
      <c r="K621" s="19"/>
    </row>
    <row r="622">
      <c r="A622" s="2"/>
      <c r="H622" s="16"/>
      <c r="I622" s="16"/>
      <c r="J622" s="16"/>
      <c r="K622" s="19"/>
    </row>
    <row r="623">
      <c r="A623" s="2"/>
      <c r="H623" s="16"/>
      <c r="I623" s="16"/>
      <c r="J623" s="16"/>
      <c r="K623" s="19"/>
    </row>
    <row r="624">
      <c r="A624" s="2"/>
      <c r="H624" s="16"/>
      <c r="I624" s="16"/>
      <c r="J624" s="16"/>
      <c r="K624" s="19"/>
    </row>
    <row r="625">
      <c r="A625" s="2"/>
      <c r="H625" s="16"/>
      <c r="I625" s="16"/>
      <c r="J625" s="16"/>
      <c r="K625" s="19"/>
    </row>
    <row r="626">
      <c r="A626" s="2"/>
      <c r="H626" s="16"/>
      <c r="I626" s="16"/>
      <c r="J626" s="16"/>
      <c r="K626" s="19"/>
    </row>
    <row r="627">
      <c r="A627" s="2"/>
      <c r="H627" s="16"/>
      <c r="I627" s="16"/>
      <c r="J627" s="16"/>
      <c r="K627" s="19"/>
    </row>
    <row r="628">
      <c r="A628" s="2"/>
      <c r="H628" s="16"/>
      <c r="I628" s="16"/>
      <c r="J628" s="16"/>
      <c r="K628" s="19"/>
    </row>
    <row r="629">
      <c r="A629" s="2"/>
      <c r="H629" s="16"/>
      <c r="I629" s="16"/>
      <c r="J629" s="16"/>
      <c r="K629" s="19"/>
    </row>
    <row r="630">
      <c r="A630" s="2"/>
      <c r="H630" s="16"/>
      <c r="I630" s="16"/>
      <c r="J630" s="16"/>
      <c r="K630" s="19"/>
    </row>
    <row r="631">
      <c r="A631" s="2"/>
      <c r="H631" s="16"/>
      <c r="I631" s="16"/>
      <c r="J631" s="16"/>
      <c r="K631" s="19"/>
    </row>
    <row r="632">
      <c r="A632" s="2"/>
      <c r="H632" s="16"/>
      <c r="I632" s="16"/>
      <c r="J632" s="16"/>
      <c r="K632" s="19"/>
    </row>
    <row r="633">
      <c r="A633" s="2"/>
      <c r="H633" s="16"/>
      <c r="I633" s="16"/>
      <c r="J633" s="16"/>
      <c r="K633" s="19"/>
    </row>
    <row r="634">
      <c r="A634" s="2"/>
      <c r="H634" s="16"/>
      <c r="I634" s="16"/>
      <c r="J634" s="16"/>
      <c r="K634" s="19"/>
    </row>
    <row r="635">
      <c r="A635" s="2"/>
      <c r="H635" s="16"/>
      <c r="I635" s="16"/>
      <c r="J635" s="16"/>
      <c r="K635" s="19"/>
    </row>
    <row r="636">
      <c r="A636" s="2"/>
      <c r="H636" s="16"/>
      <c r="I636" s="16"/>
      <c r="J636" s="16"/>
      <c r="K636" s="19"/>
    </row>
    <row r="637">
      <c r="A637" s="2"/>
      <c r="H637" s="16"/>
      <c r="I637" s="16"/>
      <c r="J637" s="16"/>
      <c r="K637" s="19"/>
    </row>
    <row r="638">
      <c r="A638" s="2"/>
      <c r="H638" s="16"/>
      <c r="I638" s="16"/>
      <c r="J638" s="16"/>
      <c r="K638" s="19"/>
    </row>
    <row r="639">
      <c r="A639" s="2"/>
      <c r="H639" s="16"/>
      <c r="I639" s="16"/>
      <c r="J639" s="16"/>
      <c r="K639" s="19"/>
    </row>
    <row r="640">
      <c r="A640" s="2"/>
      <c r="H640" s="16"/>
      <c r="I640" s="16"/>
      <c r="J640" s="16"/>
      <c r="K640" s="19"/>
    </row>
    <row r="641">
      <c r="A641" s="2"/>
      <c r="H641" s="16"/>
      <c r="I641" s="16"/>
      <c r="J641" s="16"/>
      <c r="K641" s="19"/>
    </row>
    <row r="642">
      <c r="A642" s="2"/>
      <c r="H642" s="16"/>
      <c r="I642" s="16"/>
      <c r="J642" s="16"/>
      <c r="K642" s="19"/>
    </row>
    <row r="643">
      <c r="A643" s="2"/>
      <c r="H643" s="16"/>
      <c r="I643" s="16"/>
      <c r="J643" s="16"/>
      <c r="K643" s="19"/>
    </row>
    <row r="644">
      <c r="A644" s="2"/>
      <c r="H644" s="16"/>
      <c r="I644" s="16"/>
      <c r="J644" s="16"/>
      <c r="K644" s="19"/>
    </row>
    <row r="645">
      <c r="A645" s="2"/>
      <c r="H645" s="16"/>
      <c r="I645" s="16"/>
      <c r="J645" s="16"/>
      <c r="K645" s="19"/>
    </row>
    <row r="646">
      <c r="A646" s="2"/>
      <c r="H646" s="16"/>
      <c r="I646" s="16"/>
      <c r="J646" s="16"/>
      <c r="K646" s="19"/>
    </row>
    <row r="647">
      <c r="A647" s="2"/>
      <c r="H647" s="16"/>
      <c r="I647" s="16"/>
      <c r="J647" s="16"/>
      <c r="K647" s="19"/>
    </row>
    <row r="648">
      <c r="A648" s="2"/>
      <c r="H648" s="16"/>
      <c r="I648" s="16"/>
      <c r="J648" s="16"/>
      <c r="K648" s="19"/>
    </row>
    <row r="649">
      <c r="A649" s="2"/>
      <c r="H649" s="16"/>
      <c r="I649" s="16"/>
      <c r="J649" s="16"/>
      <c r="K649" s="19"/>
    </row>
    <row r="650">
      <c r="A650" s="2"/>
      <c r="H650" s="16"/>
      <c r="I650" s="16"/>
      <c r="J650" s="16"/>
      <c r="K650" s="19"/>
    </row>
    <row r="651">
      <c r="A651" s="2"/>
      <c r="H651" s="16"/>
      <c r="I651" s="16"/>
      <c r="J651" s="16"/>
      <c r="K651" s="19"/>
    </row>
    <row r="652">
      <c r="A652" s="2"/>
      <c r="H652" s="16"/>
      <c r="I652" s="16"/>
      <c r="J652" s="16"/>
      <c r="K652" s="19"/>
    </row>
    <row r="653">
      <c r="A653" s="2"/>
      <c r="H653" s="16"/>
      <c r="I653" s="16"/>
      <c r="J653" s="16"/>
      <c r="K653" s="19"/>
    </row>
    <row r="654">
      <c r="A654" s="2"/>
      <c r="H654" s="16"/>
      <c r="I654" s="16"/>
      <c r="J654" s="16"/>
      <c r="K654" s="19"/>
    </row>
    <row r="655">
      <c r="A655" s="2"/>
      <c r="H655" s="16"/>
      <c r="I655" s="16"/>
      <c r="J655" s="16"/>
      <c r="K655" s="19"/>
    </row>
    <row r="656">
      <c r="A656" s="2"/>
      <c r="H656" s="16"/>
      <c r="I656" s="16"/>
      <c r="J656" s="16"/>
      <c r="K656" s="19"/>
    </row>
    <row r="657">
      <c r="A657" s="2"/>
      <c r="H657" s="16"/>
      <c r="I657" s="16"/>
      <c r="J657" s="16"/>
      <c r="K657" s="19"/>
    </row>
    <row r="658">
      <c r="A658" s="2"/>
      <c r="H658" s="16"/>
      <c r="I658" s="16"/>
      <c r="J658" s="16"/>
      <c r="K658" s="19"/>
    </row>
    <row r="659">
      <c r="A659" s="2"/>
      <c r="H659" s="16"/>
      <c r="I659" s="16"/>
      <c r="J659" s="16"/>
      <c r="K659" s="19"/>
    </row>
    <row r="660">
      <c r="A660" s="2"/>
      <c r="H660" s="16"/>
      <c r="I660" s="16"/>
      <c r="J660" s="16"/>
      <c r="K660" s="19"/>
    </row>
    <row r="661">
      <c r="A661" s="2"/>
      <c r="H661" s="16"/>
      <c r="I661" s="16"/>
      <c r="J661" s="16"/>
      <c r="K661" s="19"/>
    </row>
    <row r="662">
      <c r="A662" s="2"/>
      <c r="H662" s="16"/>
      <c r="I662" s="16"/>
      <c r="J662" s="16"/>
      <c r="K662" s="19"/>
    </row>
    <row r="663">
      <c r="A663" s="2"/>
      <c r="H663" s="16"/>
      <c r="I663" s="16"/>
      <c r="J663" s="16"/>
      <c r="K663" s="19"/>
    </row>
    <row r="664">
      <c r="A664" s="2"/>
      <c r="H664" s="16"/>
      <c r="I664" s="16"/>
      <c r="J664" s="16"/>
      <c r="K664" s="19"/>
    </row>
    <row r="665">
      <c r="A665" s="2"/>
      <c r="H665" s="16"/>
      <c r="I665" s="16"/>
      <c r="J665" s="16"/>
      <c r="K665" s="19"/>
    </row>
    <row r="666">
      <c r="A666" s="2"/>
      <c r="H666" s="16"/>
      <c r="I666" s="16"/>
      <c r="J666" s="16"/>
      <c r="K666" s="19"/>
    </row>
    <row r="667">
      <c r="A667" s="2"/>
      <c r="H667" s="16"/>
      <c r="I667" s="16"/>
      <c r="J667" s="16"/>
      <c r="K667" s="19"/>
    </row>
    <row r="668">
      <c r="A668" s="2"/>
      <c r="H668" s="16"/>
      <c r="I668" s="16"/>
      <c r="J668" s="16"/>
      <c r="K668" s="19"/>
    </row>
    <row r="669">
      <c r="A669" s="2"/>
      <c r="H669" s="16"/>
      <c r="I669" s="16"/>
      <c r="J669" s="16"/>
      <c r="K669" s="19"/>
    </row>
    <row r="670">
      <c r="A670" s="2"/>
      <c r="H670" s="16"/>
      <c r="I670" s="16"/>
      <c r="J670" s="16"/>
      <c r="K670" s="19"/>
    </row>
    <row r="671">
      <c r="A671" s="2"/>
      <c r="H671" s="16"/>
      <c r="I671" s="16"/>
      <c r="J671" s="16"/>
      <c r="K671" s="19"/>
    </row>
    <row r="672">
      <c r="A672" s="2"/>
      <c r="H672" s="16"/>
      <c r="I672" s="16"/>
      <c r="J672" s="16"/>
      <c r="K672" s="19"/>
    </row>
    <row r="673">
      <c r="A673" s="2"/>
      <c r="H673" s="16"/>
      <c r="I673" s="16"/>
      <c r="J673" s="16"/>
      <c r="K673" s="19"/>
    </row>
    <row r="674">
      <c r="A674" s="2"/>
      <c r="H674" s="16"/>
      <c r="I674" s="16"/>
      <c r="J674" s="16"/>
      <c r="K674" s="19"/>
    </row>
    <row r="675">
      <c r="A675" s="2"/>
      <c r="H675" s="16"/>
      <c r="I675" s="16"/>
      <c r="J675" s="16"/>
      <c r="K675" s="19"/>
    </row>
    <row r="676">
      <c r="A676" s="2"/>
      <c r="H676" s="16"/>
      <c r="I676" s="16"/>
      <c r="J676" s="16"/>
      <c r="K676" s="19"/>
    </row>
    <row r="677">
      <c r="A677" s="2"/>
      <c r="H677" s="16"/>
      <c r="I677" s="16"/>
      <c r="J677" s="16"/>
      <c r="K677" s="19"/>
    </row>
    <row r="678">
      <c r="A678" s="2"/>
      <c r="H678" s="16"/>
      <c r="I678" s="16"/>
      <c r="J678" s="16"/>
      <c r="K678" s="19"/>
    </row>
    <row r="679">
      <c r="A679" s="2"/>
      <c r="H679" s="16"/>
      <c r="I679" s="16"/>
      <c r="J679" s="16"/>
      <c r="K679" s="19"/>
    </row>
    <row r="680">
      <c r="A680" s="2"/>
      <c r="H680" s="16"/>
      <c r="I680" s="16"/>
      <c r="J680" s="16"/>
      <c r="K680" s="19"/>
    </row>
    <row r="681">
      <c r="A681" s="2"/>
      <c r="H681" s="16"/>
      <c r="I681" s="16"/>
      <c r="J681" s="16"/>
      <c r="K681" s="19"/>
    </row>
    <row r="682">
      <c r="A682" s="2"/>
      <c r="H682" s="16"/>
      <c r="I682" s="16"/>
      <c r="J682" s="16"/>
      <c r="K682" s="19"/>
    </row>
    <row r="683">
      <c r="A683" s="2"/>
      <c r="H683" s="16"/>
      <c r="I683" s="16"/>
      <c r="J683" s="16"/>
      <c r="K683" s="19"/>
    </row>
    <row r="684">
      <c r="A684" s="2"/>
      <c r="H684" s="16"/>
      <c r="I684" s="16"/>
      <c r="J684" s="16"/>
      <c r="K684" s="19"/>
    </row>
    <row r="685">
      <c r="A685" s="2"/>
      <c r="H685" s="16"/>
      <c r="I685" s="16"/>
      <c r="J685" s="16"/>
      <c r="K685" s="19"/>
    </row>
    <row r="686">
      <c r="A686" s="2"/>
      <c r="H686" s="16"/>
      <c r="I686" s="16"/>
      <c r="J686" s="16"/>
      <c r="K686" s="19"/>
    </row>
    <row r="687">
      <c r="A687" s="2"/>
      <c r="H687" s="16"/>
      <c r="I687" s="16"/>
      <c r="J687" s="16"/>
      <c r="K687" s="19"/>
    </row>
    <row r="688">
      <c r="A688" s="2"/>
      <c r="H688" s="16"/>
      <c r="I688" s="16"/>
      <c r="J688" s="16"/>
      <c r="K688" s="19"/>
    </row>
    <row r="689">
      <c r="A689" s="2"/>
      <c r="H689" s="16"/>
      <c r="I689" s="16"/>
      <c r="J689" s="16"/>
      <c r="K689" s="19"/>
    </row>
    <row r="690">
      <c r="A690" s="2"/>
      <c r="H690" s="16"/>
      <c r="I690" s="16"/>
      <c r="J690" s="16"/>
      <c r="K690" s="19"/>
    </row>
    <row r="691">
      <c r="A691" s="2"/>
      <c r="H691" s="16"/>
      <c r="I691" s="16"/>
      <c r="J691" s="16"/>
      <c r="K691" s="19"/>
    </row>
    <row r="692">
      <c r="A692" s="2"/>
      <c r="H692" s="16"/>
      <c r="I692" s="16"/>
      <c r="J692" s="16"/>
      <c r="K692" s="19"/>
    </row>
    <row r="693">
      <c r="A693" s="2"/>
      <c r="H693" s="16"/>
      <c r="I693" s="16"/>
      <c r="J693" s="16"/>
      <c r="K693" s="19"/>
    </row>
    <row r="694">
      <c r="A694" s="2"/>
      <c r="H694" s="16"/>
      <c r="I694" s="16"/>
      <c r="J694" s="16"/>
      <c r="K694" s="19"/>
    </row>
    <row r="695">
      <c r="A695" s="2"/>
      <c r="H695" s="16"/>
      <c r="I695" s="16"/>
      <c r="J695" s="16"/>
      <c r="K695" s="19"/>
    </row>
    <row r="696">
      <c r="A696" s="2"/>
      <c r="H696" s="16"/>
      <c r="I696" s="16"/>
      <c r="J696" s="16"/>
      <c r="K696" s="19"/>
    </row>
    <row r="697">
      <c r="A697" s="2"/>
      <c r="H697" s="16"/>
      <c r="I697" s="16"/>
      <c r="J697" s="16"/>
      <c r="K697" s="19"/>
    </row>
    <row r="698">
      <c r="A698" s="2"/>
      <c r="H698" s="16"/>
      <c r="I698" s="16"/>
      <c r="J698" s="16"/>
      <c r="K698" s="19"/>
    </row>
    <row r="699">
      <c r="A699" s="2"/>
      <c r="H699" s="16"/>
      <c r="I699" s="16"/>
      <c r="J699" s="16"/>
      <c r="K699" s="19"/>
    </row>
    <row r="700">
      <c r="A700" s="2"/>
      <c r="H700" s="16"/>
      <c r="I700" s="16"/>
      <c r="J700" s="16"/>
      <c r="K700" s="19"/>
    </row>
    <row r="701">
      <c r="A701" s="2"/>
      <c r="H701" s="16"/>
      <c r="I701" s="16"/>
      <c r="J701" s="16"/>
      <c r="K701" s="19"/>
    </row>
    <row r="702">
      <c r="A702" s="2"/>
      <c r="H702" s="16"/>
      <c r="I702" s="16"/>
      <c r="J702" s="16"/>
      <c r="K702" s="19"/>
    </row>
    <row r="703">
      <c r="A703" s="2"/>
      <c r="H703" s="16"/>
      <c r="I703" s="16"/>
      <c r="J703" s="16"/>
      <c r="K703" s="19"/>
    </row>
    <row r="704">
      <c r="A704" s="2"/>
      <c r="H704" s="16"/>
      <c r="I704" s="16"/>
      <c r="J704" s="16"/>
      <c r="K704" s="19"/>
    </row>
    <row r="705">
      <c r="A705" s="2"/>
      <c r="H705" s="16"/>
      <c r="I705" s="16"/>
      <c r="J705" s="16"/>
      <c r="K705" s="19"/>
    </row>
    <row r="706">
      <c r="A706" s="2"/>
      <c r="H706" s="16"/>
      <c r="I706" s="16"/>
      <c r="J706" s="16"/>
      <c r="K706" s="19"/>
    </row>
    <row r="707">
      <c r="A707" s="2"/>
      <c r="H707" s="16"/>
      <c r="I707" s="16"/>
      <c r="J707" s="16"/>
      <c r="K707" s="19"/>
    </row>
    <row r="708">
      <c r="A708" s="2"/>
      <c r="H708" s="16"/>
      <c r="I708" s="16"/>
      <c r="J708" s="16"/>
      <c r="K708" s="19"/>
    </row>
    <row r="709">
      <c r="A709" s="2"/>
      <c r="H709" s="16"/>
      <c r="I709" s="16"/>
      <c r="J709" s="16"/>
      <c r="K709" s="19"/>
    </row>
    <row r="710">
      <c r="A710" s="2"/>
      <c r="H710" s="16"/>
      <c r="I710" s="16"/>
      <c r="J710" s="16"/>
      <c r="K710" s="19"/>
    </row>
    <row r="711">
      <c r="A711" s="2"/>
      <c r="H711" s="16"/>
      <c r="I711" s="16"/>
      <c r="J711" s="16"/>
      <c r="K711" s="19"/>
    </row>
    <row r="712">
      <c r="A712" s="2"/>
      <c r="H712" s="16"/>
      <c r="I712" s="16"/>
      <c r="J712" s="16"/>
      <c r="K712" s="19"/>
    </row>
    <row r="713">
      <c r="A713" s="2"/>
      <c r="H713" s="16"/>
      <c r="I713" s="16"/>
      <c r="J713" s="16"/>
      <c r="K713" s="19"/>
    </row>
    <row r="714">
      <c r="A714" s="2"/>
      <c r="H714" s="16"/>
      <c r="I714" s="16"/>
      <c r="J714" s="16"/>
      <c r="K714" s="19"/>
    </row>
    <row r="715">
      <c r="A715" s="2"/>
      <c r="H715" s="16"/>
      <c r="I715" s="16"/>
      <c r="J715" s="16"/>
      <c r="K715" s="19"/>
    </row>
    <row r="716">
      <c r="A716" s="2"/>
      <c r="H716" s="16"/>
      <c r="I716" s="16"/>
      <c r="J716" s="16"/>
      <c r="K716" s="19"/>
    </row>
    <row r="717">
      <c r="A717" s="2"/>
      <c r="H717" s="16"/>
      <c r="I717" s="16"/>
      <c r="J717" s="16"/>
      <c r="K717" s="19"/>
    </row>
    <row r="718">
      <c r="A718" s="2"/>
      <c r="H718" s="16"/>
      <c r="I718" s="16"/>
      <c r="J718" s="16"/>
      <c r="K718" s="19"/>
    </row>
    <row r="719">
      <c r="A719" s="2"/>
      <c r="H719" s="16"/>
      <c r="I719" s="16"/>
      <c r="J719" s="16"/>
      <c r="K719" s="19"/>
    </row>
    <row r="720">
      <c r="A720" s="2"/>
      <c r="H720" s="16"/>
      <c r="I720" s="16"/>
      <c r="J720" s="16"/>
      <c r="K720" s="19"/>
    </row>
    <row r="721">
      <c r="A721" s="2"/>
      <c r="H721" s="16"/>
      <c r="I721" s="16"/>
      <c r="J721" s="16"/>
      <c r="K721" s="19"/>
    </row>
    <row r="722">
      <c r="A722" s="2"/>
      <c r="H722" s="16"/>
      <c r="I722" s="16"/>
      <c r="J722" s="16"/>
      <c r="K722" s="19"/>
    </row>
    <row r="723">
      <c r="A723" s="2"/>
      <c r="H723" s="16"/>
      <c r="I723" s="16"/>
      <c r="J723" s="16"/>
      <c r="K723" s="19"/>
    </row>
    <row r="724">
      <c r="A724" s="2"/>
      <c r="H724" s="16"/>
      <c r="I724" s="16"/>
      <c r="J724" s="16"/>
      <c r="K724" s="19"/>
    </row>
    <row r="725">
      <c r="A725" s="2"/>
      <c r="H725" s="16"/>
      <c r="I725" s="16"/>
      <c r="J725" s="16"/>
      <c r="K725" s="19"/>
    </row>
    <row r="726">
      <c r="A726" s="2"/>
      <c r="H726" s="16"/>
      <c r="I726" s="16"/>
      <c r="J726" s="16"/>
      <c r="K726" s="19"/>
    </row>
    <row r="727">
      <c r="A727" s="2"/>
      <c r="H727" s="16"/>
      <c r="I727" s="16"/>
      <c r="J727" s="16"/>
      <c r="K727" s="19"/>
    </row>
    <row r="728">
      <c r="A728" s="2"/>
      <c r="H728" s="16"/>
      <c r="I728" s="16"/>
      <c r="J728" s="16"/>
      <c r="K728" s="19"/>
    </row>
    <row r="729">
      <c r="A729" s="2"/>
      <c r="H729" s="16"/>
      <c r="I729" s="16"/>
      <c r="J729" s="16"/>
      <c r="K729" s="19"/>
    </row>
    <row r="730">
      <c r="A730" s="2"/>
      <c r="H730" s="16"/>
      <c r="I730" s="16"/>
      <c r="J730" s="16"/>
      <c r="K730" s="19"/>
    </row>
    <row r="731">
      <c r="A731" s="2"/>
      <c r="H731" s="16"/>
      <c r="I731" s="16"/>
      <c r="J731" s="16"/>
      <c r="K731" s="19"/>
    </row>
    <row r="732">
      <c r="A732" s="2"/>
      <c r="H732" s="16"/>
      <c r="I732" s="16"/>
      <c r="J732" s="16"/>
      <c r="K732" s="19"/>
    </row>
    <row r="733">
      <c r="A733" s="2"/>
      <c r="H733" s="16"/>
      <c r="I733" s="16"/>
      <c r="J733" s="16"/>
      <c r="K733" s="19"/>
    </row>
    <row r="734">
      <c r="A734" s="2"/>
      <c r="H734" s="16"/>
      <c r="I734" s="16"/>
      <c r="J734" s="16"/>
      <c r="K734" s="19"/>
    </row>
    <row r="735">
      <c r="A735" s="2"/>
      <c r="H735" s="16"/>
      <c r="I735" s="16"/>
      <c r="J735" s="16"/>
      <c r="K735" s="19"/>
    </row>
    <row r="736">
      <c r="A736" s="2"/>
      <c r="H736" s="16"/>
      <c r="I736" s="16"/>
      <c r="J736" s="16"/>
      <c r="K736" s="19"/>
    </row>
    <row r="737">
      <c r="A737" s="2"/>
      <c r="H737" s="16"/>
      <c r="I737" s="16"/>
      <c r="J737" s="16"/>
      <c r="K737" s="19"/>
    </row>
    <row r="738">
      <c r="A738" s="2"/>
      <c r="H738" s="16"/>
      <c r="I738" s="16"/>
      <c r="J738" s="16"/>
      <c r="K738" s="19"/>
    </row>
    <row r="739">
      <c r="A739" s="2"/>
      <c r="H739" s="16"/>
      <c r="I739" s="16"/>
      <c r="J739" s="16"/>
      <c r="K739" s="19"/>
    </row>
    <row r="740">
      <c r="A740" s="2"/>
      <c r="H740" s="16"/>
      <c r="I740" s="16"/>
      <c r="J740" s="16"/>
      <c r="K740" s="19"/>
    </row>
    <row r="741">
      <c r="A741" s="2"/>
      <c r="H741" s="16"/>
      <c r="I741" s="16"/>
      <c r="J741" s="16"/>
      <c r="K741" s="19"/>
    </row>
    <row r="742">
      <c r="A742" s="2"/>
      <c r="H742" s="16"/>
      <c r="I742" s="16"/>
      <c r="J742" s="16"/>
      <c r="K742" s="19"/>
    </row>
    <row r="743">
      <c r="A743" s="2"/>
      <c r="H743" s="16"/>
      <c r="I743" s="16"/>
      <c r="J743" s="16"/>
      <c r="K743" s="19"/>
    </row>
    <row r="744">
      <c r="A744" s="2"/>
      <c r="H744" s="16"/>
      <c r="I744" s="16"/>
      <c r="J744" s="16"/>
      <c r="K744" s="19"/>
    </row>
    <row r="745">
      <c r="A745" s="2"/>
      <c r="H745" s="16"/>
      <c r="I745" s="16"/>
      <c r="J745" s="16"/>
      <c r="K745" s="19"/>
    </row>
    <row r="746">
      <c r="A746" s="2"/>
      <c r="H746" s="16"/>
      <c r="I746" s="16"/>
      <c r="J746" s="16"/>
      <c r="K746" s="19"/>
    </row>
    <row r="747">
      <c r="A747" s="2"/>
      <c r="H747" s="16"/>
      <c r="I747" s="16"/>
      <c r="J747" s="16"/>
      <c r="K747" s="19"/>
    </row>
    <row r="748">
      <c r="A748" s="2"/>
      <c r="H748" s="16"/>
      <c r="I748" s="16"/>
      <c r="J748" s="16"/>
      <c r="K748" s="19"/>
    </row>
    <row r="749">
      <c r="A749" s="2"/>
      <c r="H749" s="16"/>
      <c r="I749" s="16"/>
      <c r="J749" s="16"/>
      <c r="K749" s="19"/>
    </row>
    <row r="750">
      <c r="A750" s="2"/>
      <c r="H750" s="16"/>
      <c r="I750" s="16"/>
      <c r="J750" s="16"/>
      <c r="K750" s="19"/>
    </row>
    <row r="751">
      <c r="A751" s="2"/>
      <c r="H751" s="16"/>
      <c r="I751" s="16"/>
      <c r="J751" s="16"/>
      <c r="K751" s="19"/>
    </row>
    <row r="752">
      <c r="A752" s="2"/>
      <c r="H752" s="16"/>
      <c r="I752" s="16"/>
      <c r="J752" s="16"/>
      <c r="K752" s="19"/>
    </row>
    <row r="753">
      <c r="A753" s="2"/>
      <c r="H753" s="16"/>
      <c r="I753" s="16"/>
      <c r="J753" s="16"/>
      <c r="K753" s="19"/>
    </row>
    <row r="754">
      <c r="A754" s="2"/>
      <c r="H754" s="16"/>
      <c r="I754" s="16"/>
      <c r="J754" s="16"/>
      <c r="K754" s="19"/>
    </row>
    <row r="755">
      <c r="A755" s="2"/>
      <c r="H755" s="16"/>
      <c r="I755" s="16"/>
      <c r="J755" s="16"/>
      <c r="K755" s="19"/>
    </row>
    <row r="756">
      <c r="A756" s="2"/>
      <c r="H756" s="16"/>
      <c r="I756" s="16"/>
      <c r="J756" s="16"/>
      <c r="K756" s="19"/>
    </row>
    <row r="757">
      <c r="A757" s="2"/>
      <c r="H757" s="16"/>
      <c r="I757" s="16"/>
      <c r="J757" s="16"/>
      <c r="K757" s="19"/>
    </row>
    <row r="758">
      <c r="A758" s="2"/>
      <c r="H758" s="16"/>
      <c r="I758" s="16"/>
      <c r="J758" s="16"/>
      <c r="K758" s="19"/>
    </row>
    <row r="759">
      <c r="A759" s="2"/>
      <c r="H759" s="16"/>
      <c r="I759" s="16"/>
      <c r="J759" s="16"/>
      <c r="K759" s="19"/>
    </row>
    <row r="760">
      <c r="A760" s="2"/>
      <c r="H760" s="16"/>
      <c r="I760" s="16"/>
      <c r="J760" s="16"/>
      <c r="K760" s="19"/>
    </row>
    <row r="761">
      <c r="A761" s="2"/>
      <c r="H761" s="16"/>
      <c r="I761" s="16"/>
      <c r="J761" s="16"/>
      <c r="K761" s="19"/>
    </row>
    <row r="762">
      <c r="A762" s="2"/>
      <c r="H762" s="16"/>
      <c r="I762" s="16"/>
      <c r="J762" s="16"/>
      <c r="K762" s="19"/>
    </row>
    <row r="763">
      <c r="A763" s="2"/>
      <c r="H763" s="16"/>
      <c r="I763" s="16"/>
      <c r="J763" s="16"/>
      <c r="K763" s="19"/>
    </row>
    <row r="764">
      <c r="A764" s="2"/>
      <c r="H764" s="16"/>
      <c r="I764" s="16"/>
      <c r="J764" s="16"/>
      <c r="K764" s="19"/>
    </row>
    <row r="765">
      <c r="A765" s="2"/>
      <c r="H765" s="16"/>
      <c r="I765" s="16"/>
      <c r="J765" s="16"/>
      <c r="K765" s="19"/>
    </row>
    <row r="766">
      <c r="A766" s="2"/>
      <c r="H766" s="16"/>
      <c r="I766" s="16"/>
      <c r="J766" s="16"/>
      <c r="K766" s="19"/>
    </row>
    <row r="767">
      <c r="A767" s="2"/>
      <c r="H767" s="16"/>
      <c r="I767" s="16"/>
      <c r="J767" s="16"/>
      <c r="K767" s="19"/>
    </row>
    <row r="768">
      <c r="A768" s="2"/>
      <c r="H768" s="16"/>
      <c r="I768" s="16"/>
      <c r="J768" s="16"/>
      <c r="K768" s="19"/>
    </row>
    <row r="769">
      <c r="A769" s="2"/>
      <c r="H769" s="16"/>
      <c r="I769" s="16"/>
      <c r="J769" s="16"/>
      <c r="K769" s="19"/>
    </row>
    <row r="770">
      <c r="A770" s="2"/>
      <c r="H770" s="16"/>
      <c r="I770" s="16"/>
      <c r="J770" s="16"/>
      <c r="K770" s="19"/>
    </row>
    <row r="771">
      <c r="A771" s="2"/>
      <c r="H771" s="16"/>
      <c r="I771" s="16"/>
      <c r="J771" s="16"/>
      <c r="K771" s="19"/>
    </row>
    <row r="772">
      <c r="A772" s="2"/>
      <c r="H772" s="16"/>
      <c r="I772" s="16"/>
      <c r="J772" s="16"/>
      <c r="K772" s="19"/>
    </row>
    <row r="773">
      <c r="A773" s="2"/>
      <c r="H773" s="16"/>
      <c r="I773" s="16"/>
      <c r="J773" s="16"/>
      <c r="K773" s="19"/>
    </row>
    <row r="774">
      <c r="A774" s="2"/>
      <c r="H774" s="16"/>
      <c r="I774" s="16"/>
      <c r="J774" s="16"/>
      <c r="K774" s="19"/>
    </row>
    <row r="775">
      <c r="A775" s="2"/>
      <c r="H775" s="16"/>
      <c r="I775" s="16"/>
      <c r="J775" s="16"/>
      <c r="K775" s="19"/>
    </row>
    <row r="776">
      <c r="A776" s="2"/>
      <c r="H776" s="16"/>
      <c r="I776" s="16"/>
      <c r="J776" s="16"/>
      <c r="K776" s="19"/>
    </row>
    <row r="777">
      <c r="A777" s="2"/>
      <c r="H777" s="16"/>
      <c r="I777" s="16"/>
      <c r="J777" s="16"/>
      <c r="K777" s="19"/>
    </row>
    <row r="778">
      <c r="A778" s="2"/>
      <c r="H778" s="16"/>
      <c r="I778" s="16"/>
      <c r="J778" s="16"/>
      <c r="K778" s="19"/>
    </row>
    <row r="779">
      <c r="A779" s="2"/>
      <c r="H779" s="16"/>
      <c r="I779" s="16"/>
      <c r="J779" s="16"/>
      <c r="K779" s="19"/>
    </row>
    <row r="780">
      <c r="A780" s="2"/>
      <c r="H780" s="16"/>
      <c r="I780" s="16"/>
      <c r="J780" s="16"/>
      <c r="K780" s="19"/>
    </row>
    <row r="781">
      <c r="A781" s="2"/>
      <c r="H781" s="16"/>
      <c r="I781" s="16"/>
      <c r="J781" s="16"/>
      <c r="K781" s="19"/>
    </row>
    <row r="782">
      <c r="A782" s="2"/>
      <c r="H782" s="16"/>
      <c r="I782" s="16"/>
      <c r="J782" s="16"/>
      <c r="K782" s="19"/>
    </row>
    <row r="783">
      <c r="A783" s="2"/>
      <c r="H783" s="16"/>
      <c r="I783" s="16"/>
      <c r="J783" s="16"/>
      <c r="K783" s="19"/>
    </row>
    <row r="784">
      <c r="A784" s="2"/>
      <c r="H784" s="16"/>
      <c r="I784" s="16"/>
      <c r="J784" s="16"/>
      <c r="K784" s="19"/>
    </row>
    <row r="785">
      <c r="A785" s="2"/>
      <c r="H785" s="16"/>
      <c r="I785" s="16"/>
      <c r="J785" s="16"/>
      <c r="K785" s="19"/>
    </row>
    <row r="786">
      <c r="A786" s="2"/>
      <c r="H786" s="16"/>
      <c r="I786" s="16"/>
      <c r="J786" s="16"/>
      <c r="K786" s="19"/>
    </row>
    <row r="787">
      <c r="A787" s="2"/>
      <c r="H787" s="16"/>
      <c r="I787" s="16"/>
      <c r="J787" s="16"/>
      <c r="K787" s="19"/>
    </row>
    <row r="788">
      <c r="A788" s="2"/>
      <c r="H788" s="16"/>
      <c r="I788" s="16"/>
      <c r="J788" s="16"/>
      <c r="K788" s="19"/>
    </row>
    <row r="789">
      <c r="A789" s="2"/>
      <c r="H789" s="16"/>
      <c r="I789" s="16"/>
      <c r="J789" s="16"/>
      <c r="K789" s="19"/>
    </row>
    <row r="790">
      <c r="A790" s="2"/>
      <c r="H790" s="16"/>
      <c r="I790" s="16"/>
      <c r="J790" s="16"/>
      <c r="K790" s="19"/>
    </row>
    <row r="791">
      <c r="A791" s="2"/>
      <c r="H791" s="16"/>
      <c r="I791" s="16"/>
      <c r="J791" s="16"/>
      <c r="K791" s="19"/>
    </row>
    <row r="792">
      <c r="A792" s="2"/>
      <c r="H792" s="16"/>
      <c r="I792" s="16"/>
      <c r="J792" s="16"/>
      <c r="K792" s="19"/>
    </row>
    <row r="793">
      <c r="A793" s="2"/>
      <c r="H793" s="16"/>
      <c r="I793" s="16"/>
      <c r="J793" s="16"/>
      <c r="K793" s="19"/>
    </row>
    <row r="794">
      <c r="A794" s="2"/>
      <c r="H794" s="16"/>
      <c r="I794" s="16"/>
      <c r="J794" s="16"/>
      <c r="K794" s="19"/>
    </row>
    <row r="795">
      <c r="A795" s="2"/>
      <c r="H795" s="16"/>
      <c r="I795" s="16"/>
      <c r="J795" s="16"/>
      <c r="K795" s="19"/>
    </row>
    <row r="796">
      <c r="A796" s="2"/>
      <c r="H796" s="16"/>
      <c r="I796" s="16"/>
      <c r="J796" s="16"/>
      <c r="K796" s="19"/>
    </row>
    <row r="797">
      <c r="A797" s="2"/>
      <c r="H797" s="16"/>
      <c r="I797" s="16"/>
      <c r="J797" s="16"/>
      <c r="K797" s="19"/>
    </row>
    <row r="798">
      <c r="A798" s="2"/>
      <c r="H798" s="16"/>
      <c r="I798" s="16"/>
      <c r="J798" s="16"/>
      <c r="K798" s="19"/>
    </row>
    <row r="799">
      <c r="A799" s="2"/>
      <c r="H799" s="16"/>
      <c r="I799" s="16"/>
      <c r="J799" s="16"/>
      <c r="K799" s="19"/>
    </row>
    <row r="800">
      <c r="A800" s="2"/>
      <c r="H800" s="16"/>
      <c r="I800" s="16"/>
      <c r="J800" s="16"/>
      <c r="K800" s="19"/>
    </row>
    <row r="801">
      <c r="A801" s="2"/>
      <c r="H801" s="16"/>
      <c r="I801" s="16"/>
      <c r="J801" s="16"/>
      <c r="K801" s="19"/>
    </row>
    <row r="802">
      <c r="A802" s="2"/>
      <c r="H802" s="16"/>
      <c r="I802" s="16"/>
      <c r="J802" s="16"/>
      <c r="K802" s="19"/>
    </row>
    <row r="803">
      <c r="A803" s="2"/>
      <c r="H803" s="16"/>
      <c r="I803" s="16"/>
      <c r="J803" s="16"/>
      <c r="K803" s="19"/>
    </row>
    <row r="804">
      <c r="A804" s="2"/>
      <c r="H804" s="16"/>
      <c r="I804" s="16"/>
      <c r="J804" s="16"/>
      <c r="K804" s="19"/>
    </row>
    <row r="805">
      <c r="A805" s="2"/>
      <c r="H805" s="16"/>
      <c r="I805" s="16"/>
      <c r="J805" s="16"/>
      <c r="K805" s="19"/>
    </row>
    <row r="806">
      <c r="A806" s="2"/>
      <c r="H806" s="16"/>
      <c r="I806" s="16"/>
      <c r="J806" s="16"/>
      <c r="K806" s="19"/>
    </row>
    <row r="807">
      <c r="A807" s="2"/>
      <c r="H807" s="16"/>
      <c r="I807" s="16"/>
      <c r="J807" s="16"/>
      <c r="K807" s="19"/>
    </row>
    <row r="808">
      <c r="A808" s="2"/>
      <c r="H808" s="16"/>
      <c r="I808" s="16"/>
      <c r="J808" s="16"/>
      <c r="K808" s="19"/>
    </row>
    <row r="809">
      <c r="A809" s="2"/>
      <c r="H809" s="16"/>
      <c r="I809" s="16"/>
      <c r="J809" s="16"/>
      <c r="K809" s="19"/>
    </row>
    <row r="810">
      <c r="A810" s="2"/>
      <c r="H810" s="16"/>
      <c r="I810" s="16"/>
      <c r="J810" s="16"/>
      <c r="K810" s="19"/>
    </row>
    <row r="811">
      <c r="A811" s="2"/>
      <c r="H811" s="16"/>
      <c r="I811" s="16"/>
      <c r="J811" s="16"/>
      <c r="K811" s="19"/>
    </row>
    <row r="812">
      <c r="A812" s="2"/>
      <c r="H812" s="16"/>
      <c r="I812" s="16"/>
      <c r="J812" s="16"/>
      <c r="K812" s="19"/>
    </row>
    <row r="813">
      <c r="A813" s="2"/>
      <c r="H813" s="16"/>
      <c r="I813" s="16"/>
      <c r="J813" s="16"/>
      <c r="K813" s="19"/>
    </row>
    <row r="814">
      <c r="A814" s="2"/>
      <c r="H814" s="16"/>
      <c r="I814" s="16"/>
      <c r="J814" s="16"/>
      <c r="K814" s="19"/>
    </row>
    <row r="815">
      <c r="A815" s="2"/>
      <c r="H815" s="16"/>
      <c r="I815" s="16"/>
      <c r="J815" s="16"/>
      <c r="K815" s="19"/>
    </row>
    <row r="816">
      <c r="A816" s="2"/>
      <c r="H816" s="16"/>
      <c r="I816" s="16"/>
      <c r="J816" s="16"/>
      <c r="K816" s="19"/>
    </row>
    <row r="817">
      <c r="A817" s="2"/>
      <c r="H817" s="16"/>
      <c r="I817" s="16"/>
      <c r="J817" s="16"/>
      <c r="K817" s="19"/>
    </row>
    <row r="818">
      <c r="A818" s="2"/>
      <c r="H818" s="16"/>
      <c r="I818" s="16"/>
      <c r="J818" s="16"/>
      <c r="K818" s="19"/>
    </row>
    <row r="819">
      <c r="A819" s="2"/>
      <c r="H819" s="16"/>
      <c r="I819" s="16"/>
      <c r="J819" s="16"/>
      <c r="K819" s="19"/>
    </row>
    <row r="820">
      <c r="A820" s="2"/>
      <c r="H820" s="16"/>
      <c r="I820" s="16"/>
      <c r="J820" s="16"/>
      <c r="K820" s="19"/>
    </row>
    <row r="821">
      <c r="A821" s="2"/>
      <c r="H821" s="16"/>
      <c r="I821" s="16"/>
      <c r="J821" s="16"/>
      <c r="K821" s="19"/>
    </row>
    <row r="822">
      <c r="A822" s="2"/>
      <c r="H822" s="16"/>
      <c r="I822" s="16"/>
      <c r="J822" s="16"/>
      <c r="K822" s="19"/>
    </row>
    <row r="823">
      <c r="A823" s="2"/>
      <c r="H823" s="16"/>
      <c r="I823" s="16"/>
      <c r="J823" s="16"/>
      <c r="K823" s="19"/>
    </row>
    <row r="824">
      <c r="A824" s="2"/>
      <c r="H824" s="16"/>
      <c r="I824" s="16"/>
      <c r="J824" s="16"/>
      <c r="K824" s="19"/>
    </row>
    <row r="825">
      <c r="A825" s="2"/>
      <c r="H825" s="16"/>
      <c r="I825" s="16"/>
      <c r="J825" s="16"/>
      <c r="K825" s="19"/>
    </row>
    <row r="826">
      <c r="A826" s="2"/>
      <c r="H826" s="16"/>
      <c r="I826" s="16"/>
      <c r="J826" s="16"/>
      <c r="K826" s="19"/>
    </row>
    <row r="827">
      <c r="A827" s="2"/>
      <c r="H827" s="16"/>
      <c r="I827" s="16"/>
      <c r="J827" s="16"/>
      <c r="K827" s="19"/>
    </row>
    <row r="828">
      <c r="A828" s="2"/>
      <c r="H828" s="16"/>
      <c r="I828" s="16"/>
      <c r="J828" s="16"/>
      <c r="K828" s="19"/>
    </row>
    <row r="829">
      <c r="A829" s="2"/>
      <c r="H829" s="16"/>
      <c r="I829" s="16"/>
      <c r="J829" s="16"/>
      <c r="K829" s="19"/>
    </row>
    <row r="830">
      <c r="A830" s="2"/>
      <c r="H830" s="16"/>
      <c r="I830" s="16"/>
      <c r="J830" s="16"/>
      <c r="K830" s="19"/>
    </row>
    <row r="831">
      <c r="A831" s="2"/>
      <c r="H831" s="16"/>
      <c r="I831" s="16"/>
      <c r="J831" s="16"/>
      <c r="K831" s="19"/>
    </row>
    <row r="832">
      <c r="A832" s="2"/>
      <c r="H832" s="16"/>
      <c r="I832" s="16"/>
      <c r="J832" s="16"/>
      <c r="K832" s="19"/>
    </row>
    <row r="833">
      <c r="A833" s="2"/>
      <c r="H833" s="16"/>
      <c r="I833" s="16"/>
      <c r="J833" s="16"/>
      <c r="K833" s="19"/>
    </row>
    <row r="834">
      <c r="A834" s="2"/>
      <c r="H834" s="16"/>
      <c r="I834" s="16"/>
      <c r="J834" s="16"/>
      <c r="K834" s="19"/>
    </row>
    <row r="835">
      <c r="A835" s="2"/>
      <c r="H835" s="16"/>
      <c r="I835" s="16"/>
      <c r="J835" s="16"/>
      <c r="K835" s="19"/>
    </row>
    <row r="836">
      <c r="A836" s="2"/>
      <c r="H836" s="16"/>
      <c r="I836" s="16"/>
      <c r="J836" s="16"/>
      <c r="K836" s="19"/>
    </row>
    <row r="837">
      <c r="A837" s="2"/>
      <c r="H837" s="16"/>
      <c r="I837" s="16"/>
      <c r="J837" s="16"/>
      <c r="K837" s="19"/>
    </row>
    <row r="838">
      <c r="A838" s="2"/>
      <c r="H838" s="16"/>
      <c r="I838" s="16"/>
      <c r="J838" s="16"/>
      <c r="K838" s="19"/>
    </row>
    <row r="839">
      <c r="A839" s="2"/>
      <c r="H839" s="16"/>
      <c r="I839" s="16"/>
      <c r="J839" s="16"/>
      <c r="K839" s="19"/>
    </row>
    <row r="840">
      <c r="A840" s="2"/>
      <c r="H840" s="16"/>
      <c r="I840" s="16"/>
      <c r="J840" s="16"/>
      <c r="K840" s="19"/>
    </row>
    <row r="841">
      <c r="A841" s="2"/>
      <c r="H841" s="16"/>
      <c r="I841" s="16"/>
      <c r="J841" s="16"/>
      <c r="K841" s="19"/>
    </row>
    <row r="842">
      <c r="A842" s="2"/>
      <c r="H842" s="16"/>
      <c r="I842" s="16"/>
      <c r="J842" s="16"/>
      <c r="K842" s="19"/>
    </row>
    <row r="843">
      <c r="A843" s="2"/>
      <c r="H843" s="16"/>
      <c r="I843" s="16"/>
      <c r="J843" s="16"/>
      <c r="K843" s="19"/>
    </row>
    <row r="844">
      <c r="A844" s="2"/>
      <c r="H844" s="16"/>
      <c r="I844" s="16"/>
      <c r="J844" s="16"/>
      <c r="K844" s="19"/>
    </row>
    <row r="845">
      <c r="A845" s="2"/>
      <c r="H845" s="16"/>
      <c r="I845" s="16"/>
      <c r="J845" s="16"/>
      <c r="K845" s="19"/>
    </row>
    <row r="846">
      <c r="A846" s="2"/>
      <c r="H846" s="16"/>
      <c r="I846" s="16"/>
      <c r="J846" s="16"/>
      <c r="K846" s="19"/>
    </row>
    <row r="847">
      <c r="A847" s="2"/>
      <c r="H847" s="16"/>
      <c r="I847" s="16"/>
      <c r="J847" s="16"/>
      <c r="K847" s="19"/>
    </row>
    <row r="848">
      <c r="A848" s="2"/>
      <c r="H848" s="16"/>
      <c r="I848" s="16"/>
      <c r="J848" s="16"/>
      <c r="K848" s="19"/>
    </row>
    <row r="849">
      <c r="A849" s="2"/>
      <c r="H849" s="16"/>
      <c r="I849" s="16"/>
      <c r="J849" s="16"/>
      <c r="K849" s="19"/>
    </row>
    <row r="850">
      <c r="A850" s="2"/>
      <c r="H850" s="16"/>
      <c r="I850" s="16"/>
      <c r="J850" s="16"/>
      <c r="K850" s="19"/>
    </row>
    <row r="851">
      <c r="A851" s="2"/>
      <c r="H851" s="16"/>
      <c r="I851" s="16"/>
      <c r="J851" s="16"/>
      <c r="K851" s="19"/>
    </row>
    <row r="852">
      <c r="A852" s="2"/>
      <c r="H852" s="16"/>
      <c r="I852" s="16"/>
      <c r="J852" s="16"/>
      <c r="K852" s="19"/>
    </row>
    <row r="853">
      <c r="A853" s="2"/>
      <c r="H853" s="16"/>
      <c r="I853" s="16"/>
      <c r="J853" s="16"/>
      <c r="K853" s="19"/>
    </row>
    <row r="854">
      <c r="A854" s="2"/>
      <c r="H854" s="16"/>
      <c r="I854" s="16"/>
      <c r="J854" s="16"/>
      <c r="K854" s="19"/>
    </row>
    <row r="855">
      <c r="A855" s="2"/>
      <c r="H855" s="16"/>
      <c r="I855" s="16"/>
      <c r="J855" s="16"/>
      <c r="K855" s="19"/>
    </row>
    <row r="856">
      <c r="A856" s="2"/>
      <c r="H856" s="16"/>
      <c r="I856" s="16"/>
      <c r="J856" s="16"/>
      <c r="K856" s="19"/>
    </row>
    <row r="857">
      <c r="A857" s="2"/>
      <c r="H857" s="16"/>
      <c r="I857" s="16"/>
      <c r="J857" s="16"/>
      <c r="K857" s="19"/>
    </row>
    <row r="858">
      <c r="A858" s="2"/>
      <c r="H858" s="16"/>
      <c r="I858" s="16"/>
      <c r="J858" s="16"/>
      <c r="K858" s="19"/>
    </row>
    <row r="859">
      <c r="A859" s="2"/>
      <c r="H859" s="16"/>
      <c r="I859" s="16"/>
      <c r="J859" s="16"/>
      <c r="K859" s="19"/>
    </row>
    <row r="860">
      <c r="A860" s="2"/>
      <c r="H860" s="16"/>
      <c r="I860" s="16"/>
      <c r="J860" s="16"/>
      <c r="K860" s="19"/>
    </row>
    <row r="861">
      <c r="A861" s="2"/>
      <c r="H861" s="16"/>
      <c r="I861" s="16"/>
      <c r="J861" s="16"/>
      <c r="K861" s="19"/>
    </row>
    <row r="862">
      <c r="A862" s="2"/>
      <c r="H862" s="16"/>
      <c r="I862" s="16"/>
      <c r="J862" s="16"/>
      <c r="K862" s="19"/>
    </row>
    <row r="863">
      <c r="A863" s="2"/>
      <c r="H863" s="16"/>
      <c r="I863" s="16"/>
      <c r="J863" s="16"/>
      <c r="K863" s="19"/>
    </row>
    <row r="864">
      <c r="A864" s="2"/>
      <c r="H864" s="16"/>
      <c r="I864" s="16"/>
      <c r="J864" s="16"/>
      <c r="K864" s="19"/>
    </row>
    <row r="865">
      <c r="A865" s="2"/>
      <c r="H865" s="16"/>
      <c r="I865" s="16"/>
      <c r="J865" s="16"/>
      <c r="K865" s="19"/>
    </row>
    <row r="866">
      <c r="A866" s="2"/>
      <c r="H866" s="16"/>
      <c r="I866" s="16"/>
      <c r="J866" s="16"/>
      <c r="K866" s="19"/>
    </row>
    <row r="867">
      <c r="A867" s="2"/>
      <c r="H867" s="16"/>
      <c r="I867" s="16"/>
      <c r="J867" s="16"/>
      <c r="K867" s="19"/>
    </row>
    <row r="868">
      <c r="A868" s="2"/>
      <c r="H868" s="16"/>
      <c r="I868" s="16"/>
      <c r="J868" s="16"/>
      <c r="K868" s="19"/>
    </row>
    <row r="869">
      <c r="A869" s="2"/>
      <c r="H869" s="16"/>
      <c r="I869" s="16"/>
      <c r="J869" s="16"/>
      <c r="K869" s="19"/>
    </row>
    <row r="870">
      <c r="A870" s="2"/>
      <c r="H870" s="16"/>
      <c r="I870" s="16"/>
      <c r="J870" s="16"/>
      <c r="K870" s="19"/>
    </row>
    <row r="871">
      <c r="A871" s="2"/>
      <c r="H871" s="16"/>
      <c r="I871" s="16"/>
      <c r="J871" s="16"/>
      <c r="K871" s="19"/>
    </row>
    <row r="872">
      <c r="A872" s="2"/>
      <c r="H872" s="16"/>
      <c r="I872" s="16"/>
      <c r="J872" s="16"/>
      <c r="K872" s="19"/>
    </row>
    <row r="873">
      <c r="A873" s="2"/>
      <c r="H873" s="16"/>
      <c r="I873" s="16"/>
      <c r="J873" s="16"/>
      <c r="K873" s="19"/>
    </row>
    <row r="874">
      <c r="A874" s="2"/>
      <c r="H874" s="16"/>
      <c r="I874" s="16"/>
      <c r="J874" s="16"/>
      <c r="K874" s="19"/>
    </row>
    <row r="875">
      <c r="A875" s="2"/>
      <c r="H875" s="16"/>
      <c r="I875" s="16"/>
      <c r="J875" s="16"/>
      <c r="K875" s="19"/>
    </row>
    <row r="876">
      <c r="A876" s="2"/>
      <c r="H876" s="16"/>
      <c r="I876" s="16"/>
      <c r="J876" s="16"/>
      <c r="K876" s="19"/>
    </row>
    <row r="877">
      <c r="A877" s="2"/>
      <c r="H877" s="16"/>
      <c r="I877" s="16"/>
      <c r="J877" s="16"/>
      <c r="K877" s="19"/>
    </row>
    <row r="878">
      <c r="A878" s="2"/>
      <c r="H878" s="16"/>
      <c r="I878" s="16"/>
      <c r="J878" s="16"/>
      <c r="K878" s="19"/>
    </row>
    <row r="879">
      <c r="A879" s="2"/>
      <c r="H879" s="16"/>
      <c r="I879" s="16"/>
      <c r="J879" s="16"/>
      <c r="K879" s="19"/>
    </row>
    <row r="880">
      <c r="A880" s="2"/>
      <c r="H880" s="16"/>
      <c r="I880" s="16"/>
      <c r="J880" s="16"/>
      <c r="K880" s="19"/>
    </row>
    <row r="881">
      <c r="A881" s="2"/>
      <c r="H881" s="16"/>
      <c r="I881" s="16"/>
      <c r="J881" s="16"/>
      <c r="K881" s="19"/>
    </row>
    <row r="882">
      <c r="A882" s="2"/>
      <c r="H882" s="16"/>
      <c r="I882" s="16"/>
      <c r="J882" s="16"/>
      <c r="K882" s="19"/>
    </row>
    <row r="883">
      <c r="A883" s="2"/>
      <c r="H883" s="16"/>
      <c r="I883" s="16"/>
      <c r="J883" s="16"/>
      <c r="K883" s="19"/>
    </row>
    <row r="884">
      <c r="A884" s="2"/>
      <c r="H884" s="16"/>
      <c r="I884" s="16"/>
      <c r="J884" s="16"/>
      <c r="K884" s="19"/>
    </row>
    <row r="885">
      <c r="A885" s="2"/>
      <c r="H885" s="16"/>
      <c r="I885" s="16"/>
      <c r="J885" s="16"/>
      <c r="K885" s="19"/>
    </row>
    <row r="886">
      <c r="A886" s="2"/>
      <c r="H886" s="16"/>
      <c r="I886" s="16"/>
      <c r="J886" s="16"/>
      <c r="K886" s="19"/>
    </row>
    <row r="887">
      <c r="A887" s="2"/>
      <c r="H887" s="16"/>
      <c r="I887" s="16"/>
      <c r="J887" s="16"/>
      <c r="K887" s="19"/>
    </row>
    <row r="888">
      <c r="A888" s="2"/>
      <c r="H888" s="16"/>
      <c r="I888" s="16"/>
      <c r="J888" s="16"/>
      <c r="K888" s="19"/>
    </row>
    <row r="889">
      <c r="A889" s="2"/>
      <c r="H889" s="16"/>
      <c r="I889" s="16"/>
      <c r="J889" s="16"/>
      <c r="K889" s="19"/>
    </row>
    <row r="890">
      <c r="A890" s="2"/>
      <c r="H890" s="16"/>
      <c r="I890" s="16"/>
      <c r="J890" s="16"/>
      <c r="K890" s="19"/>
    </row>
    <row r="891">
      <c r="A891" s="2"/>
      <c r="H891" s="16"/>
      <c r="I891" s="16"/>
      <c r="J891" s="16"/>
      <c r="K891" s="19"/>
    </row>
    <row r="892">
      <c r="A892" s="2"/>
      <c r="H892" s="16"/>
      <c r="I892" s="16"/>
      <c r="J892" s="16"/>
      <c r="K892" s="19"/>
    </row>
    <row r="893">
      <c r="A893" s="2"/>
      <c r="H893" s="16"/>
      <c r="I893" s="16"/>
      <c r="J893" s="16"/>
      <c r="K893" s="19"/>
    </row>
    <row r="894">
      <c r="A894" s="2"/>
      <c r="H894" s="16"/>
      <c r="I894" s="16"/>
      <c r="J894" s="16"/>
      <c r="K894" s="19"/>
    </row>
    <row r="895">
      <c r="A895" s="2"/>
      <c r="H895" s="16"/>
      <c r="I895" s="16"/>
      <c r="J895" s="16"/>
      <c r="K895" s="19"/>
    </row>
    <row r="896">
      <c r="A896" s="2"/>
      <c r="H896" s="16"/>
      <c r="I896" s="16"/>
      <c r="J896" s="16"/>
      <c r="K896" s="19"/>
    </row>
    <row r="897">
      <c r="A897" s="2"/>
      <c r="H897" s="16"/>
      <c r="I897" s="16"/>
      <c r="J897" s="16"/>
      <c r="K897" s="19"/>
    </row>
    <row r="898">
      <c r="A898" s="2"/>
      <c r="H898" s="16"/>
      <c r="I898" s="16"/>
      <c r="J898" s="16"/>
      <c r="K898" s="19"/>
    </row>
    <row r="899">
      <c r="A899" s="2"/>
      <c r="H899" s="16"/>
      <c r="I899" s="16"/>
      <c r="J899" s="16"/>
      <c r="K899" s="19"/>
    </row>
    <row r="900">
      <c r="A900" s="2"/>
      <c r="H900" s="16"/>
      <c r="I900" s="16"/>
      <c r="J900" s="16"/>
      <c r="K900" s="19"/>
    </row>
    <row r="901">
      <c r="A901" s="2"/>
      <c r="H901" s="16"/>
      <c r="I901" s="16"/>
      <c r="J901" s="16"/>
      <c r="K901" s="19"/>
    </row>
    <row r="902">
      <c r="A902" s="2"/>
      <c r="H902" s="16"/>
      <c r="I902" s="16"/>
      <c r="J902" s="16"/>
      <c r="K902" s="19"/>
    </row>
    <row r="903">
      <c r="A903" s="2"/>
      <c r="H903" s="16"/>
      <c r="I903" s="16"/>
      <c r="J903" s="16"/>
      <c r="K903" s="19"/>
    </row>
    <row r="904">
      <c r="A904" s="2"/>
      <c r="H904" s="16"/>
      <c r="I904" s="16"/>
      <c r="J904" s="16"/>
      <c r="K904" s="19"/>
    </row>
    <row r="905">
      <c r="A905" s="2"/>
      <c r="H905" s="16"/>
      <c r="I905" s="16"/>
      <c r="J905" s="16"/>
      <c r="K905" s="19"/>
    </row>
    <row r="906">
      <c r="A906" s="2"/>
      <c r="H906" s="16"/>
      <c r="I906" s="16"/>
      <c r="J906" s="16"/>
      <c r="K906" s="19"/>
    </row>
    <row r="907">
      <c r="A907" s="2"/>
      <c r="H907" s="16"/>
      <c r="I907" s="16"/>
      <c r="J907" s="16"/>
      <c r="K907" s="19"/>
    </row>
    <row r="908">
      <c r="A908" s="2"/>
      <c r="H908" s="16"/>
      <c r="I908" s="16"/>
      <c r="J908" s="16"/>
      <c r="K908" s="19"/>
    </row>
    <row r="909">
      <c r="A909" s="2"/>
      <c r="H909" s="16"/>
      <c r="I909" s="16"/>
      <c r="J909" s="16"/>
      <c r="K909" s="19"/>
    </row>
    <row r="910">
      <c r="A910" s="2"/>
      <c r="H910" s="16"/>
      <c r="I910" s="16"/>
      <c r="J910" s="16"/>
      <c r="K910" s="19"/>
    </row>
    <row r="911">
      <c r="A911" s="2"/>
      <c r="H911" s="16"/>
      <c r="I911" s="16"/>
      <c r="J911" s="16"/>
      <c r="K911" s="19"/>
    </row>
    <row r="912">
      <c r="A912" s="2"/>
      <c r="H912" s="16"/>
      <c r="I912" s="16"/>
      <c r="J912" s="16"/>
      <c r="K912" s="19"/>
    </row>
    <row r="913">
      <c r="A913" s="2"/>
      <c r="H913" s="16"/>
      <c r="I913" s="16"/>
      <c r="J913" s="16"/>
      <c r="K913" s="19"/>
    </row>
    <row r="914">
      <c r="A914" s="2"/>
      <c r="H914" s="16"/>
      <c r="I914" s="16"/>
      <c r="J914" s="16"/>
      <c r="K914" s="19"/>
    </row>
    <row r="915">
      <c r="A915" s="2"/>
      <c r="H915" s="16"/>
      <c r="I915" s="16"/>
      <c r="J915" s="16"/>
      <c r="K915" s="19"/>
    </row>
    <row r="916">
      <c r="A916" s="2"/>
      <c r="H916" s="16"/>
      <c r="I916" s="16"/>
      <c r="J916" s="16"/>
      <c r="K916" s="19"/>
    </row>
    <row r="917">
      <c r="A917" s="2"/>
      <c r="H917" s="16"/>
      <c r="I917" s="16"/>
      <c r="J917" s="16"/>
      <c r="K917" s="19"/>
    </row>
    <row r="918">
      <c r="A918" s="2"/>
      <c r="H918" s="16"/>
      <c r="I918" s="16"/>
      <c r="J918" s="16"/>
      <c r="K918" s="19"/>
    </row>
    <row r="919">
      <c r="A919" s="2"/>
      <c r="H919" s="16"/>
      <c r="I919" s="16"/>
      <c r="J919" s="16"/>
      <c r="K919" s="19"/>
    </row>
    <row r="920">
      <c r="A920" s="2"/>
      <c r="H920" s="16"/>
      <c r="I920" s="16"/>
      <c r="J920" s="16"/>
      <c r="K920" s="19"/>
    </row>
    <row r="921">
      <c r="A921" s="2"/>
      <c r="H921" s="16"/>
      <c r="I921" s="16"/>
      <c r="J921" s="16"/>
      <c r="K921" s="19"/>
    </row>
    <row r="922">
      <c r="A922" s="2"/>
      <c r="H922" s="16"/>
      <c r="I922" s="16"/>
      <c r="J922" s="16"/>
      <c r="K922" s="19"/>
    </row>
    <row r="923">
      <c r="A923" s="2"/>
      <c r="H923" s="16"/>
      <c r="I923" s="16"/>
      <c r="J923" s="16"/>
      <c r="K923" s="19"/>
    </row>
    <row r="924">
      <c r="A924" s="2"/>
      <c r="H924" s="16"/>
      <c r="I924" s="16"/>
      <c r="J924" s="16"/>
      <c r="K924" s="19"/>
    </row>
    <row r="925">
      <c r="A925" s="2"/>
      <c r="H925" s="16"/>
      <c r="I925" s="16"/>
      <c r="J925" s="16"/>
      <c r="K925" s="19"/>
    </row>
    <row r="926">
      <c r="A926" s="2"/>
      <c r="H926" s="16"/>
      <c r="I926" s="16"/>
      <c r="J926" s="16"/>
      <c r="K926" s="19"/>
    </row>
    <row r="927">
      <c r="A927" s="2"/>
      <c r="H927" s="16"/>
      <c r="I927" s="16"/>
      <c r="J927" s="16"/>
      <c r="K927" s="19"/>
    </row>
    <row r="928">
      <c r="A928" s="2"/>
      <c r="H928" s="16"/>
      <c r="I928" s="16"/>
      <c r="J928" s="16"/>
      <c r="K928" s="19"/>
    </row>
    <row r="929">
      <c r="A929" s="2"/>
      <c r="H929" s="16"/>
      <c r="I929" s="16"/>
      <c r="J929" s="16"/>
      <c r="K929" s="19"/>
    </row>
    <row r="930">
      <c r="A930" s="2"/>
      <c r="H930" s="16"/>
      <c r="I930" s="16"/>
      <c r="J930" s="16"/>
      <c r="K930" s="19"/>
    </row>
    <row r="931">
      <c r="A931" s="2"/>
      <c r="H931" s="16"/>
      <c r="I931" s="16"/>
      <c r="J931" s="16"/>
      <c r="K931" s="19"/>
    </row>
    <row r="932">
      <c r="A932" s="2"/>
      <c r="H932" s="16"/>
      <c r="I932" s="16"/>
      <c r="J932" s="16"/>
      <c r="K932" s="19"/>
    </row>
    <row r="933">
      <c r="A933" s="2"/>
      <c r="H933" s="16"/>
      <c r="I933" s="16"/>
      <c r="J933" s="16"/>
      <c r="K933" s="19"/>
    </row>
    <row r="934">
      <c r="A934" s="2"/>
      <c r="H934" s="16"/>
      <c r="I934" s="16"/>
      <c r="J934" s="16"/>
      <c r="K934" s="19"/>
    </row>
    <row r="935">
      <c r="A935" s="2"/>
      <c r="H935" s="16"/>
      <c r="I935" s="16"/>
      <c r="J935" s="16"/>
      <c r="K935" s="19"/>
    </row>
    <row r="936">
      <c r="A936" s="2"/>
      <c r="H936" s="16"/>
      <c r="I936" s="16"/>
      <c r="J936" s="16"/>
      <c r="K936" s="19"/>
    </row>
    <row r="937">
      <c r="A937" s="2"/>
      <c r="H937" s="16"/>
      <c r="I937" s="16"/>
      <c r="J937" s="16"/>
      <c r="K937" s="19"/>
    </row>
    <row r="938">
      <c r="A938" s="2"/>
      <c r="H938" s="16"/>
      <c r="I938" s="16"/>
      <c r="J938" s="16"/>
      <c r="K938" s="19"/>
    </row>
    <row r="939">
      <c r="A939" s="2"/>
      <c r="H939" s="16"/>
      <c r="I939" s="16"/>
      <c r="J939" s="16"/>
      <c r="K939" s="19"/>
    </row>
    <row r="940">
      <c r="A940" s="2"/>
      <c r="H940" s="16"/>
      <c r="I940" s="16"/>
      <c r="J940" s="16"/>
      <c r="K940" s="19"/>
    </row>
    <row r="941">
      <c r="A941" s="2"/>
      <c r="H941" s="16"/>
      <c r="I941" s="16"/>
      <c r="J941" s="16"/>
      <c r="K941" s="19"/>
    </row>
    <row r="942">
      <c r="A942" s="2"/>
      <c r="H942" s="16"/>
      <c r="I942" s="16"/>
      <c r="J942" s="16"/>
      <c r="K942" s="19"/>
    </row>
    <row r="943">
      <c r="A943" s="2"/>
      <c r="H943" s="16"/>
      <c r="I943" s="16"/>
      <c r="J943" s="16"/>
      <c r="K943" s="19"/>
    </row>
    <row r="944">
      <c r="A944" s="2"/>
      <c r="H944" s="16"/>
      <c r="I944" s="16"/>
      <c r="J944" s="16"/>
      <c r="K944" s="19"/>
    </row>
    <row r="945">
      <c r="A945" s="2"/>
      <c r="H945" s="16"/>
      <c r="I945" s="16"/>
      <c r="J945" s="16"/>
      <c r="K945" s="19"/>
    </row>
    <row r="946">
      <c r="A946" s="2"/>
      <c r="H946" s="16"/>
      <c r="I946" s="16"/>
      <c r="J946" s="16"/>
      <c r="K946" s="19"/>
    </row>
    <row r="947">
      <c r="A947" s="2"/>
      <c r="H947" s="16"/>
      <c r="I947" s="16"/>
      <c r="J947" s="16"/>
      <c r="K947" s="19"/>
    </row>
    <row r="948">
      <c r="A948" s="2"/>
      <c r="H948" s="16"/>
      <c r="I948" s="16"/>
      <c r="J948" s="16"/>
      <c r="K948" s="19"/>
    </row>
    <row r="949">
      <c r="A949" s="2"/>
      <c r="H949" s="16"/>
      <c r="I949" s="16"/>
      <c r="J949" s="16"/>
      <c r="K949" s="19"/>
    </row>
    <row r="950">
      <c r="A950" s="2"/>
      <c r="H950" s="16"/>
      <c r="I950" s="16"/>
      <c r="J950" s="16"/>
      <c r="K950" s="19"/>
    </row>
    <row r="951">
      <c r="A951" s="2"/>
      <c r="H951" s="16"/>
      <c r="I951" s="16"/>
      <c r="J951" s="16"/>
      <c r="K951" s="19"/>
    </row>
    <row r="952">
      <c r="A952" s="2"/>
      <c r="H952" s="16"/>
      <c r="I952" s="16"/>
      <c r="J952" s="16"/>
      <c r="K952" s="19"/>
    </row>
    <row r="953">
      <c r="A953" s="2"/>
      <c r="H953" s="16"/>
      <c r="I953" s="16"/>
      <c r="J953" s="16"/>
      <c r="K953" s="19"/>
    </row>
    <row r="954">
      <c r="A954" s="2"/>
      <c r="H954" s="16"/>
      <c r="I954" s="16"/>
      <c r="J954" s="16"/>
      <c r="K954" s="19"/>
    </row>
    <row r="955">
      <c r="A955" s="2"/>
      <c r="H955" s="16"/>
      <c r="I955" s="16"/>
      <c r="J955" s="16"/>
      <c r="K955" s="19"/>
    </row>
    <row r="956">
      <c r="A956" s="2"/>
      <c r="H956" s="16"/>
      <c r="I956" s="16"/>
      <c r="J956" s="16"/>
      <c r="K956" s="19"/>
    </row>
    <row r="957">
      <c r="A957" s="2"/>
      <c r="H957" s="16"/>
      <c r="I957" s="16"/>
      <c r="J957" s="16"/>
      <c r="K957" s="19"/>
    </row>
    <row r="958">
      <c r="A958" s="2"/>
      <c r="H958" s="16"/>
      <c r="I958" s="16"/>
      <c r="J958" s="16"/>
      <c r="K958" s="19"/>
    </row>
    <row r="959">
      <c r="A959" s="2"/>
      <c r="H959" s="16"/>
      <c r="I959" s="16"/>
      <c r="J959" s="16"/>
      <c r="K959" s="19"/>
    </row>
    <row r="960">
      <c r="A960" s="2"/>
      <c r="H960" s="16"/>
      <c r="I960" s="16"/>
      <c r="J960" s="16"/>
      <c r="K960" s="19"/>
    </row>
    <row r="961">
      <c r="A961" s="2"/>
      <c r="H961" s="16"/>
      <c r="I961" s="16"/>
      <c r="J961" s="16"/>
      <c r="K961" s="19"/>
    </row>
    <row r="962">
      <c r="A962" s="2"/>
      <c r="H962" s="16"/>
      <c r="I962" s="16"/>
      <c r="J962" s="16"/>
      <c r="K962" s="19"/>
    </row>
    <row r="963">
      <c r="A963" s="2"/>
      <c r="H963" s="16"/>
      <c r="I963" s="16"/>
      <c r="J963" s="16"/>
      <c r="K963" s="19"/>
    </row>
    <row r="964">
      <c r="A964" s="2"/>
      <c r="H964" s="16"/>
      <c r="I964" s="16"/>
      <c r="J964" s="16"/>
      <c r="K964" s="19"/>
    </row>
    <row r="965">
      <c r="A965" s="2"/>
      <c r="H965" s="16"/>
      <c r="I965" s="16"/>
      <c r="J965" s="16"/>
      <c r="K965" s="19"/>
    </row>
    <row r="966">
      <c r="A966" s="2"/>
      <c r="H966" s="16"/>
      <c r="I966" s="16"/>
      <c r="J966" s="16"/>
      <c r="K966" s="19"/>
    </row>
    <row r="967">
      <c r="A967" s="2"/>
      <c r="H967" s="16"/>
      <c r="I967" s="16"/>
      <c r="J967" s="16"/>
      <c r="K967" s="19"/>
    </row>
    <row r="968">
      <c r="A968" s="2"/>
      <c r="H968" s="16"/>
      <c r="I968" s="16"/>
      <c r="J968" s="16"/>
      <c r="K968" s="19"/>
    </row>
    <row r="969">
      <c r="A969" s="2"/>
      <c r="H969" s="16"/>
      <c r="I969" s="16"/>
      <c r="J969" s="16"/>
      <c r="K969" s="19"/>
    </row>
    <row r="970">
      <c r="A970" s="2"/>
      <c r="H970" s="16"/>
      <c r="I970" s="16"/>
      <c r="J970" s="16"/>
      <c r="K970" s="19"/>
    </row>
    <row r="971">
      <c r="A971" s="2"/>
      <c r="H971" s="16"/>
      <c r="I971" s="16"/>
      <c r="J971" s="16"/>
      <c r="K971" s="19"/>
    </row>
    <row r="972">
      <c r="A972" s="2"/>
      <c r="H972" s="16"/>
      <c r="I972" s="16"/>
      <c r="J972" s="16"/>
      <c r="K972" s="19"/>
    </row>
    <row r="973">
      <c r="A973" s="2"/>
      <c r="H973" s="16"/>
      <c r="I973" s="16"/>
      <c r="J973" s="16"/>
      <c r="K973" s="19"/>
    </row>
    <row r="974">
      <c r="A974" s="2"/>
      <c r="H974" s="16"/>
      <c r="I974" s="16"/>
      <c r="J974" s="16"/>
      <c r="K974" s="19"/>
    </row>
    <row r="975">
      <c r="A975" s="2"/>
      <c r="H975" s="16"/>
      <c r="I975" s="16"/>
      <c r="J975" s="16"/>
      <c r="K975" s="19"/>
    </row>
    <row r="976">
      <c r="A976" s="2"/>
      <c r="H976" s="16"/>
      <c r="I976" s="16"/>
      <c r="J976" s="16"/>
      <c r="K976" s="19"/>
    </row>
    <row r="977">
      <c r="A977" s="2"/>
      <c r="H977" s="16"/>
      <c r="I977" s="16"/>
      <c r="J977" s="16"/>
      <c r="K977" s="19"/>
    </row>
    <row r="978">
      <c r="A978" s="2"/>
      <c r="H978" s="16"/>
      <c r="I978" s="16"/>
      <c r="J978" s="16"/>
      <c r="K978" s="19"/>
    </row>
    <row r="979">
      <c r="A979" s="2"/>
      <c r="H979" s="16"/>
      <c r="I979" s="16"/>
      <c r="J979" s="16"/>
      <c r="K979" s="19"/>
    </row>
    <row r="980">
      <c r="A980" s="2"/>
      <c r="H980" s="16"/>
      <c r="I980" s="16"/>
      <c r="J980" s="16"/>
      <c r="K980" s="19"/>
    </row>
    <row r="981">
      <c r="A981" s="2"/>
      <c r="H981" s="16"/>
      <c r="I981" s="16"/>
      <c r="J981" s="16"/>
      <c r="K981" s="19"/>
    </row>
    <row r="982">
      <c r="A982" s="2"/>
      <c r="H982" s="16"/>
      <c r="I982" s="16"/>
      <c r="J982" s="16"/>
      <c r="K982" s="19"/>
    </row>
    <row r="983">
      <c r="A983" s="2"/>
      <c r="H983" s="16"/>
      <c r="I983" s="16"/>
      <c r="J983" s="16"/>
      <c r="K983" s="19"/>
    </row>
    <row r="984">
      <c r="A984" s="2"/>
      <c r="H984" s="16"/>
      <c r="I984" s="16"/>
      <c r="J984" s="16"/>
      <c r="K984" s="19"/>
    </row>
    <row r="985">
      <c r="A985" s="2"/>
      <c r="H985" s="16"/>
      <c r="I985" s="16"/>
      <c r="J985" s="16"/>
      <c r="K985" s="19"/>
    </row>
    <row r="986">
      <c r="A986" s="2"/>
      <c r="H986" s="16"/>
      <c r="I986" s="16"/>
      <c r="J986" s="16"/>
      <c r="K986" s="19"/>
    </row>
    <row r="987">
      <c r="A987" s="2"/>
      <c r="H987" s="16"/>
      <c r="I987" s="16"/>
      <c r="J987" s="16"/>
      <c r="K987" s="19"/>
    </row>
    <row r="988">
      <c r="A988" s="2"/>
      <c r="H988" s="16"/>
      <c r="I988" s="16"/>
      <c r="J988" s="16"/>
      <c r="K988" s="19"/>
    </row>
    <row r="989">
      <c r="A989" s="2"/>
      <c r="H989" s="16"/>
      <c r="I989" s="16"/>
      <c r="J989" s="16"/>
      <c r="K989" s="19"/>
    </row>
    <row r="990">
      <c r="A990" s="2"/>
      <c r="H990" s="16"/>
      <c r="I990" s="16"/>
      <c r="J990" s="16"/>
      <c r="K990" s="19"/>
    </row>
    <row r="991">
      <c r="A991" s="2"/>
      <c r="H991" s="16"/>
      <c r="I991" s="16"/>
      <c r="J991" s="16"/>
      <c r="K991" s="19"/>
    </row>
    <row r="992">
      <c r="A992" s="2"/>
      <c r="H992" s="16"/>
      <c r="I992" s="16"/>
      <c r="J992" s="16"/>
      <c r="K992" s="19"/>
    </row>
    <row r="993">
      <c r="A993" s="2"/>
      <c r="H993" s="16"/>
      <c r="I993" s="16"/>
      <c r="J993" s="16"/>
      <c r="K993" s="19"/>
    </row>
    <row r="994">
      <c r="A994" s="2"/>
      <c r="H994" s="16"/>
      <c r="I994" s="16"/>
      <c r="J994" s="16"/>
      <c r="K994" s="19"/>
    </row>
    <row r="995">
      <c r="A995" s="2"/>
      <c r="H995" s="16"/>
      <c r="I995" s="16"/>
      <c r="J995" s="16"/>
      <c r="K995" s="19"/>
    </row>
    <row r="996">
      <c r="A996" s="2"/>
      <c r="H996" s="16"/>
      <c r="I996" s="16"/>
      <c r="J996" s="16"/>
      <c r="K996" s="19"/>
    </row>
    <row r="997">
      <c r="A997" s="2"/>
      <c r="H997" s="16"/>
      <c r="I997" s="16"/>
      <c r="J997" s="16"/>
      <c r="K997" s="19"/>
    </row>
    <row r="998">
      <c r="A998" s="2"/>
      <c r="H998" s="16"/>
      <c r="I998" s="16"/>
      <c r="J998" s="16"/>
      <c r="K998" s="19"/>
    </row>
    <row r="999">
      <c r="A999" s="2"/>
      <c r="H999" s="16"/>
      <c r="I999" s="16"/>
      <c r="J999" s="16"/>
      <c r="K999" s="19"/>
    </row>
    <row r="1000">
      <c r="A1000" s="2"/>
      <c r="H1000" s="16"/>
      <c r="I1000" s="16"/>
      <c r="J1000" s="16"/>
      <c r="K1000" s="1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4" max="4" width="13.75"/>
  </cols>
  <sheetData>
    <row r="1">
      <c r="A1" s="3" t="s">
        <v>541</v>
      </c>
      <c r="B1" s="3" t="s">
        <v>542</v>
      </c>
      <c r="C1" s="3" t="s">
        <v>543</v>
      </c>
      <c r="D1" s="3" t="s">
        <v>544</v>
      </c>
      <c r="E1" s="3" t="s">
        <v>545</v>
      </c>
      <c r="F1" s="3" t="s">
        <v>546</v>
      </c>
    </row>
    <row r="2">
      <c r="A2" s="3" t="s">
        <v>547</v>
      </c>
      <c r="B2" s="3" t="s">
        <v>548</v>
      </c>
      <c r="C2" s="5" t="b">
        <f>SUM(Working!E2:E169)=SUM(Invoices!E2:E169)</f>
        <v>1</v>
      </c>
      <c r="D2" s="3" t="b">
        <v>1</v>
      </c>
      <c r="E2" s="5" t="str">
        <f t="shared" ref="E2:E13" si="1">IF(C2=D2,"PASS","FAIL")</f>
        <v>PASS</v>
      </c>
      <c r="F2" s="5"/>
    </row>
    <row r="3">
      <c r="A3" s="3" t="s">
        <v>549</v>
      </c>
      <c r="B3" s="3" t="s">
        <v>550</v>
      </c>
      <c r="C3" s="5">
        <f>SUMPRODUCT((COUNTIF(Invoices!A2:A169,Invoices!A2:A169)&gt;1)*1)</f>
        <v>2</v>
      </c>
      <c r="D3" s="3">
        <v>0.0</v>
      </c>
      <c r="E3" s="5" t="str">
        <f t="shared" si="1"/>
        <v>FAIL</v>
      </c>
      <c r="F3" s="3" t="s">
        <v>551</v>
      </c>
    </row>
    <row r="4">
      <c r="A4" s="3" t="s">
        <v>552</v>
      </c>
      <c r="B4" s="3" t="s">
        <v>553</v>
      </c>
      <c r="C4" s="5">
        <f>COUNTIF(Working!F2:F169,"NOT FOUND")</f>
        <v>1</v>
      </c>
      <c r="D4" s="3">
        <v>0.0</v>
      </c>
      <c r="E4" s="5" t="str">
        <f t="shared" si="1"/>
        <v>FAIL</v>
      </c>
      <c r="F4" s="3" t="s">
        <v>554</v>
      </c>
    </row>
    <row r="5">
      <c r="A5" s="3" t="s">
        <v>555</v>
      </c>
      <c r="B5" s="3" t="s">
        <v>556</v>
      </c>
      <c r="C5" s="5">
        <f>COUNTIF(Invoices!E2:E169,"&lt;0")</f>
        <v>1</v>
      </c>
      <c r="D5" s="3">
        <v>0.0</v>
      </c>
      <c r="E5" s="5" t="str">
        <f t="shared" si="1"/>
        <v>FAIL</v>
      </c>
      <c r="F5" s="3" t="s">
        <v>557</v>
      </c>
    </row>
    <row r="6">
      <c r="A6" s="3" t="s">
        <v>558</v>
      </c>
      <c r="B6" s="3" t="s">
        <v>559</v>
      </c>
      <c r="C6" s="5">
        <f>COUNTBLANK(Invoices!E2:E169)</f>
        <v>1</v>
      </c>
      <c r="D6" s="3">
        <v>0.0</v>
      </c>
      <c r="E6" s="5" t="str">
        <f t="shared" si="1"/>
        <v>FAIL</v>
      </c>
      <c r="F6" s="3" t="s">
        <v>560</v>
      </c>
    </row>
    <row r="7">
      <c r="A7" s="3" t="s">
        <v>561</v>
      </c>
      <c r="B7" s="3" t="s">
        <v>562</v>
      </c>
      <c r="C7" s="5">
        <f>SUMPRODUCT((Invoices!D2:D169&lt;Invoices!C2:C169)*1)</f>
        <v>1</v>
      </c>
      <c r="D7" s="3">
        <v>0.0</v>
      </c>
      <c r="E7" s="5" t="str">
        <f t="shared" si="1"/>
        <v>FAIL</v>
      </c>
      <c r="F7" s="3" t="s">
        <v>563</v>
      </c>
    </row>
    <row r="8">
      <c r="A8" s="3" t="s">
        <v>564</v>
      </c>
      <c r="B8" s="3" t="s">
        <v>565</v>
      </c>
      <c r="C8" s="5">
        <f>COUNTIF(Working!J2:J169,"&lt;0")</f>
        <v>2</v>
      </c>
      <c r="D8" s="3">
        <v>0.0</v>
      </c>
      <c r="E8" s="5" t="str">
        <f t="shared" si="1"/>
        <v>FAIL</v>
      </c>
      <c r="F8" s="3" t="s">
        <v>566</v>
      </c>
    </row>
    <row r="9">
      <c r="A9" s="3" t="s">
        <v>567</v>
      </c>
      <c r="B9" s="3" t="s">
        <v>568</v>
      </c>
      <c r="C9" s="5">
        <f>COUNTIF(Collections!F2:F97,"NO INVOICE")</f>
        <v>1</v>
      </c>
      <c r="D9" s="3">
        <v>0.0</v>
      </c>
      <c r="E9" s="5" t="str">
        <f t="shared" si="1"/>
        <v>FAIL</v>
      </c>
      <c r="F9" s="3" t="s">
        <v>569</v>
      </c>
    </row>
    <row r="10">
      <c r="A10" s="3" t="s">
        <v>570</v>
      </c>
      <c r="B10" s="3" t="s">
        <v>571</v>
      </c>
      <c r="C10" s="5">
        <f>COUNTIF(Collections!F2:F97,"ERROR")</f>
        <v>1</v>
      </c>
      <c r="D10" s="3">
        <v>0.0</v>
      </c>
      <c r="E10" s="5" t="str">
        <f t="shared" si="1"/>
        <v>FAIL</v>
      </c>
      <c r="F10" s="3" t="s">
        <v>572</v>
      </c>
    </row>
    <row r="11">
      <c r="A11" s="3" t="s">
        <v>573</v>
      </c>
      <c r="B11" s="3" t="s">
        <v>574</v>
      </c>
      <c r="C11" s="5">
        <f>COUNTIF(Headcount!G2:G122,"DUPLICATE")</f>
        <v>1</v>
      </c>
      <c r="D11" s="3">
        <v>0.0</v>
      </c>
      <c r="E11" s="5" t="str">
        <f t="shared" si="1"/>
        <v>FAIL</v>
      </c>
      <c r="F11" s="3" t="s">
        <v>575</v>
      </c>
    </row>
    <row r="12">
      <c r="A12" s="3" t="s">
        <v>576</v>
      </c>
      <c r="B12" s="3" t="s">
        <v>577</v>
      </c>
      <c r="C12" s="5">
        <f>SUMPRODUCT((COUNTIF(Engagement_Master!C2:C41,Headcount!F2:F122)=0)*1)</f>
        <v>0</v>
      </c>
      <c r="D12" s="3">
        <v>0.0</v>
      </c>
      <c r="E12" s="5" t="str">
        <f t="shared" si="1"/>
        <v>PASS</v>
      </c>
      <c r="F12" s="3" t="s">
        <v>578</v>
      </c>
    </row>
    <row r="13">
      <c r="A13" s="3" t="s">
        <v>579</v>
      </c>
      <c r="B13" s="3" t="s">
        <v>580</v>
      </c>
      <c r="C13" s="5" t="b">
        <f>SUM(KPI!B11:B14)+SUMIFS(Working!E2:E169,Working!F2:F169,"NOT FOUND")=KPI!B1</f>
        <v>1</v>
      </c>
      <c r="D13" s="3" t="b">
        <v>1</v>
      </c>
      <c r="E13" s="5" t="str">
        <f t="shared" si="1"/>
        <v>PASS</v>
      </c>
      <c r="F13" s="5"/>
    </row>
  </sheetData>
  <conditionalFormatting sqref="E2:E13">
    <cfRule type="expression" dxfId="0" priority="1">
      <formula>"FAIL"</formula>
    </cfRule>
  </conditionalFormatting>
  <conditionalFormatting sqref="E2:E13">
    <cfRule type="expression" dxfId="0" priority="2">
      <formula>"PASS"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5" max="5" width="15.63"/>
  </cols>
  <sheetData>
    <row r="1">
      <c r="A1" s="1" t="s">
        <v>581</v>
      </c>
      <c r="B1" s="1" t="s">
        <v>582</v>
      </c>
      <c r="C1" s="1" t="s">
        <v>526</v>
      </c>
      <c r="D1" s="1" t="s">
        <v>527</v>
      </c>
      <c r="E1" s="1" t="s">
        <v>528</v>
      </c>
      <c r="F1" s="1" t="s">
        <v>532</v>
      </c>
      <c r="G1" s="1" t="s">
        <v>583</v>
      </c>
      <c r="H1" s="1" t="s">
        <v>584</v>
      </c>
      <c r="I1" s="1" t="s">
        <v>585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5">
        <v>46294.80427090278</v>
      </c>
      <c r="B2" s="26">
        <v>46295.0</v>
      </c>
      <c r="C2" s="27">
        <v>1.33809E8</v>
      </c>
      <c r="D2" s="27">
        <v>7.7791E7</v>
      </c>
      <c r="E2" s="27">
        <v>5.7158E7</v>
      </c>
      <c r="F2" s="27">
        <v>78.0</v>
      </c>
      <c r="G2" s="27">
        <v>2164000.0</v>
      </c>
      <c r="H2" s="27">
        <v>4.0</v>
      </c>
      <c r="I2" s="27">
        <v>9.0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  <col customWidth="1" min="4" max="4" width="19.63"/>
    <col customWidth="1" min="6" max="6" width="41.75"/>
    <col customWidth="1" min="7" max="7" width="42.5"/>
  </cols>
  <sheetData>
    <row r="1">
      <c r="A1" s="3" t="s">
        <v>546</v>
      </c>
      <c r="B1" s="3" t="s">
        <v>541</v>
      </c>
      <c r="C1" s="3" t="s">
        <v>586</v>
      </c>
      <c r="D1" s="3" t="s">
        <v>587</v>
      </c>
      <c r="E1" s="3" t="s">
        <v>588</v>
      </c>
      <c r="F1" s="3" t="s">
        <v>589</v>
      </c>
      <c r="G1" s="3" t="s">
        <v>590</v>
      </c>
      <c r="H1" s="3" t="s">
        <v>545</v>
      </c>
    </row>
    <row r="2">
      <c r="A2" s="3" t="s">
        <v>551</v>
      </c>
      <c r="B2" s="3" t="s">
        <v>549</v>
      </c>
      <c r="C2" s="3" t="s">
        <v>591</v>
      </c>
      <c r="D2" s="3" t="s">
        <v>271</v>
      </c>
      <c r="E2" s="3" t="s">
        <v>592</v>
      </c>
      <c r="F2" s="3" t="s">
        <v>593</v>
      </c>
      <c r="G2" s="3" t="s">
        <v>594</v>
      </c>
      <c r="H2" s="3" t="s">
        <v>595</v>
      </c>
    </row>
    <row r="3">
      <c r="A3" s="3" t="s">
        <v>554</v>
      </c>
      <c r="B3" s="3" t="s">
        <v>552</v>
      </c>
      <c r="C3" s="3" t="s">
        <v>596</v>
      </c>
      <c r="D3" s="3" t="s">
        <v>597</v>
      </c>
      <c r="E3" s="3" t="s">
        <v>592</v>
      </c>
      <c r="F3" s="3" t="s">
        <v>598</v>
      </c>
      <c r="G3" s="3" t="s">
        <v>599</v>
      </c>
      <c r="H3" s="3" t="s">
        <v>595</v>
      </c>
    </row>
    <row r="4">
      <c r="A4" s="3" t="s">
        <v>557</v>
      </c>
      <c r="B4" s="3" t="s">
        <v>555</v>
      </c>
      <c r="C4" s="3" t="s">
        <v>600</v>
      </c>
      <c r="D4" s="3" t="s">
        <v>326</v>
      </c>
      <c r="E4" s="3" t="s">
        <v>592</v>
      </c>
      <c r="F4" s="3" t="s">
        <v>601</v>
      </c>
      <c r="G4" s="3" t="s">
        <v>602</v>
      </c>
      <c r="H4" s="3" t="s">
        <v>595</v>
      </c>
    </row>
    <row r="5">
      <c r="A5" s="3" t="s">
        <v>560</v>
      </c>
      <c r="B5" s="3" t="s">
        <v>558</v>
      </c>
      <c r="C5" s="3" t="s">
        <v>603</v>
      </c>
      <c r="D5" s="3" t="s">
        <v>282</v>
      </c>
      <c r="E5" s="3" t="s">
        <v>592</v>
      </c>
      <c r="F5" s="3" t="s">
        <v>604</v>
      </c>
      <c r="G5" s="3" t="s">
        <v>605</v>
      </c>
      <c r="H5" s="3" t="s">
        <v>595</v>
      </c>
    </row>
    <row r="6">
      <c r="A6" s="3" t="s">
        <v>563</v>
      </c>
      <c r="B6" s="3" t="s">
        <v>561</v>
      </c>
      <c r="C6" s="3" t="s">
        <v>606</v>
      </c>
      <c r="D6" s="3" t="s">
        <v>305</v>
      </c>
      <c r="E6" s="3" t="s">
        <v>607</v>
      </c>
      <c r="F6" s="3" t="s">
        <v>608</v>
      </c>
      <c r="G6" s="3" t="s">
        <v>609</v>
      </c>
      <c r="H6" s="3" t="s">
        <v>595</v>
      </c>
    </row>
    <row r="7">
      <c r="A7" s="3" t="s">
        <v>566</v>
      </c>
      <c r="B7" s="3" t="s">
        <v>564</v>
      </c>
      <c r="C7" s="3" t="s">
        <v>610</v>
      </c>
      <c r="D7" s="3" t="s">
        <v>611</v>
      </c>
      <c r="E7" s="3" t="s">
        <v>592</v>
      </c>
      <c r="F7" s="3" t="s">
        <v>612</v>
      </c>
      <c r="G7" s="3" t="s">
        <v>613</v>
      </c>
      <c r="H7" s="3" t="s">
        <v>595</v>
      </c>
    </row>
    <row r="8">
      <c r="A8" s="3" t="s">
        <v>569</v>
      </c>
      <c r="B8" s="3" t="s">
        <v>567</v>
      </c>
      <c r="C8" s="3" t="s">
        <v>614</v>
      </c>
      <c r="D8" s="3" t="s">
        <v>615</v>
      </c>
      <c r="E8" s="3" t="s">
        <v>592</v>
      </c>
      <c r="F8" s="3" t="s">
        <v>616</v>
      </c>
      <c r="G8" s="3" t="s">
        <v>617</v>
      </c>
      <c r="H8" s="3" t="s">
        <v>595</v>
      </c>
    </row>
    <row r="9">
      <c r="A9" s="3" t="s">
        <v>572</v>
      </c>
      <c r="B9" s="3" t="s">
        <v>570</v>
      </c>
      <c r="C9" s="3" t="s">
        <v>618</v>
      </c>
      <c r="D9" s="3" t="s">
        <v>619</v>
      </c>
      <c r="E9" s="3" t="s">
        <v>607</v>
      </c>
      <c r="F9" s="3" t="s">
        <v>620</v>
      </c>
      <c r="G9" s="3" t="s">
        <v>621</v>
      </c>
      <c r="H9" s="3" t="s">
        <v>595</v>
      </c>
    </row>
    <row r="10">
      <c r="A10" s="3" t="s">
        <v>575</v>
      </c>
      <c r="B10" s="3" t="s">
        <v>573</v>
      </c>
      <c r="C10" s="3" t="s">
        <v>622</v>
      </c>
      <c r="D10" s="3" t="s">
        <v>228</v>
      </c>
      <c r="E10" s="3" t="s">
        <v>607</v>
      </c>
      <c r="F10" s="3" t="s">
        <v>623</v>
      </c>
      <c r="G10" s="3" t="s">
        <v>624</v>
      </c>
      <c r="H10" s="3" t="s">
        <v>625</v>
      </c>
    </row>
    <row r="11">
      <c r="A11" s="3" t="s">
        <v>578</v>
      </c>
      <c r="B11" s="3" t="s">
        <v>576</v>
      </c>
      <c r="C11" s="3" t="s">
        <v>626</v>
      </c>
      <c r="D11" s="3" t="s">
        <v>627</v>
      </c>
      <c r="E11" s="3" t="s">
        <v>628</v>
      </c>
      <c r="F11" s="3" t="s">
        <v>629</v>
      </c>
      <c r="G11" s="3" t="s">
        <v>630</v>
      </c>
      <c r="H11" s="3" t="s">
        <v>625</v>
      </c>
    </row>
  </sheetData>
  <drawing r:id="rId1"/>
</worksheet>
</file>